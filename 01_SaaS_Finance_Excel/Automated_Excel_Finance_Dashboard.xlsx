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Freelancing\Project 01\"/>
    </mc:Choice>
  </mc:AlternateContent>
  <xr:revisionPtr revIDLastSave="0" documentId="13_ncr:1_{5DA4721E-369B-4453-93FE-BEA75A03C9E0}" xr6:coauthVersionLast="47" xr6:coauthVersionMax="47" xr10:uidLastSave="{00000000-0000-0000-0000-000000000000}"/>
  <bookViews>
    <workbookView xWindow="-120" yWindow="-120" windowWidth="20730" windowHeight="11160" xr2:uid="{439A581E-935F-42B3-8301-509DD434D867}"/>
  </bookViews>
  <sheets>
    <sheet name="Dashboard" sheetId="6" r:id="rId1"/>
    <sheet name="small_business_cashflow" sheetId="2" state="hidden" r:id="rId2"/>
    <sheet name="Pivot_Calculations" sheetId="5" state="hidden" r:id="rId3"/>
    <sheet name="Column_definations" sheetId="4" state="hidden" r:id="rId4"/>
  </sheets>
  <definedNames>
    <definedName name="ExternalData_1" localSheetId="1" hidden="1">small_business_cashflow!$A$1:$L$1601</definedName>
    <definedName name="raw_data">OFFSET(small_business_cashflow!$A$1, 0, 0, COUNTA(small_business_cashflow!$A:$A), COUNTA(small_business_cashflow!$1:$1))</definedName>
    <definedName name="Slicer_sector">#N/A</definedName>
    <definedName name="Slicer_Year1">#N/A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6" l="1"/>
  <c r="D4" i="6"/>
  <c r="B4" i="6"/>
  <c r="C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10B791-B409-4C55-877B-448E1D27675C}" keepAlive="1" name="Query - small_business_cashflow" description="Connection to the 'small_business_cashflow' query in the workbook." type="5" refreshedVersion="8" background="1" saveData="1">
    <dbPr connection="Provider=Microsoft.Mashup.OleDb.1;Data Source=$Workbook$;Location=small_business_cashflow;Extended Properties=&quot;&quot;" command="SELECT * FROM [small_business_cashflow]"/>
  </connection>
</connections>
</file>

<file path=xl/sharedStrings.xml><?xml version="1.0" encoding="utf-8"?>
<sst xmlns="http://schemas.openxmlformats.org/spreadsheetml/2006/main" count="4879" uniqueCount="1649">
  <si>
    <t>record_id</t>
  </si>
  <si>
    <t>sector</t>
  </si>
  <si>
    <t>employees</t>
  </si>
  <si>
    <t>month</t>
  </si>
  <si>
    <t>revenue_usd</t>
  </si>
  <si>
    <t>opex_usd</t>
  </si>
  <si>
    <t>accounts_receivable_days</t>
  </si>
  <si>
    <t>inventory_days</t>
  </si>
  <si>
    <t>loan_balance_usd</t>
  </si>
  <si>
    <t>owner_injections_usd</t>
  </si>
  <si>
    <t>cashflow_stress_next_month</t>
  </si>
  <si>
    <t>Year</t>
  </si>
  <si>
    <t>Manufacturing</t>
  </si>
  <si>
    <t>April</t>
  </si>
  <si>
    <t>Hospitality</t>
  </si>
  <si>
    <t>Healthcare</t>
  </si>
  <si>
    <t>Logistics</t>
  </si>
  <si>
    <t>IT Services</t>
  </si>
  <si>
    <t>Retail</t>
  </si>
  <si>
    <t>R00004</t>
  </si>
  <si>
    <t>August</t>
  </si>
  <si>
    <t>R00001</t>
  </si>
  <si>
    <t>February</t>
  </si>
  <si>
    <t>R00011</t>
  </si>
  <si>
    <t>R00007</t>
  </si>
  <si>
    <t>June</t>
  </si>
  <si>
    <t>R00005</t>
  </si>
  <si>
    <t>R00003</t>
  </si>
  <si>
    <t>March</t>
  </si>
  <si>
    <t>R00006</t>
  </si>
  <si>
    <t>R00008</t>
  </si>
  <si>
    <t>R00010</t>
  </si>
  <si>
    <t>R00002</t>
  </si>
  <si>
    <t>R00009</t>
  </si>
  <si>
    <t>Sum of revenue_usd</t>
  </si>
  <si>
    <t>Row Labels</t>
  </si>
  <si>
    <t>Grand Total</t>
  </si>
  <si>
    <t>Sum of opex_usd</t>
  </si>
  <si>
    <t>R01177</t>
  </si>
  <si>
    <t>R00475</t>
  </si>
  <si>
    <t>R00246</t>
  </si>
  <si>
    <t>R01262</t>
  </si>
  <si>
    <t>R01014</t>
  </si>
  <si>
    <t>R01273</t>
  </si>
  <si>
    <t>R00134</t>
  </si>
  <si>
    <t>R01009</t>
  </si>
  <si>
    <t>R01290</t>
  </si>
  <si>
    <t>R01007</t>
  </si>
  <si>
    <t>R00210</t>
  </si>
  <si>
    <t>R00984</t>
  </si>
  <si>
    <t>R00466</t>
  </si>
  <si>
    <t>R00607</t>
  </si>
  <si>
    <t>R00055</t>
  </si>
  <si>
    <t>R00141</t>
  </si>
  <si>
    <t>R00576</t>
  </si>
  <si>
    <t>R01369</t>
  </si>
  <si>
    <t>R00614</t>
  </si>
  <si>
    <t>R00939</t>
  </si>
  <si>
    <t>R01022</t>
  </si>
  <si>
    <t>R00476</t>
  </si>
  <si>
    <t>R01230</t>
  </si>
  <si>
    <t>R00486</t>
  </si>
  <si>
    <t>R01108</t>
  </si>
  <si>
    <t>R00581</t>
  </si>
  <si>
    <t>R01118</t>
  </si>
  <si>
    <t>R01132</t>
  </si>
  <si>
    <t>R01136</t>
  </si>
  <si>
    <t>R01155</t>
  </si>
  <si>
    <t>R00591</t>
  </si>
  <si>
    <t>R00118</t>
  </si>
  <si>
    <t>R00503</t>
  </si>
  <si>
    <t>R01392</t>
  </si>
  <si>
    <t>R00595</t>
  </si>
  <si>
    <t>R00213</t>
  </si>
  <si>
    <t>R00493</t>
  </si>
  <si>
    <t>R00490</t>
  </si>
  <si>
    <t>R01044</t>
  </si>
  <si>
    <t>R01042</t>
  </si>
  <si>
    <t>R01201</t>
  </si>
  <si>
    <t>R01203</t>
  </si>
  <si>
    <t>R01208</t>
  </si>
  <si>
    <t>R00596</t>
  </si>
  <si>
    <t>R01048</t>
  </si>
  <si>
    <t>R00047</t>
  </si>
  <si>
    <t>R00612</t>
  </si>
  <si>
    <t>R00443</t>
  </si>
  <si>
    <t>R01480</t>
  </si>
  <si>
    <t>R00880</t>
  </si>
  <si>
    <t>R00685</t>
  </si>
  <si>
    <t>R00453</t>
  </si>
  <si>
    <t>R01517</t>
  </si>
  <si>
    <t>R00362</t>
  </si>
  <si>
    <t>R00015</t>
  </si>
  <si>
    <t>R00014</t>
  </si>
  <si>
    <t>R01479</t>
  </si>
  <si>
    <t>R01546</t>
  </si>
  <si>
    <t>R00706</t>
  </si>
  <si>
    <t>R00186</t>
  </si>
  <si>
    <t>R00185</t>
  </si>
  <si>
    <t>R01573</t>
  </si>
  <si>
    <t>R00778</t>
  </si>
  <si>
    <t>R00771</t>
  </si>
  <si>
    <t>R00761</t>
  </si>
  <si>
    <t>R00833</t>
  </si>
  <si>
    <t>R00646</t>
  </si>
  <si>
    <t>R00363</t>
  </si>
  <si>
    <t>R00643</t>
  </si>
  <si>
    <t>R00937</t>
  </si>
  <si>
    <t>R00926</t>
  </si>
  <si>
    <t>R00435</t>
  </si>
  <si>
    <t>R01422</t>
  </si>
  <si>
    <t>R00618</t>
  </si>
  <si>
    <t>R00258</t>
  </si>
  <si>
    <t>R00917</t>
  </si>
  <si>
    <t>R01444</t>
  </si>
  <si>
    <t>R00624</t>
  </si>
  <si>
    <t>R00573</t>
  </si>
  <si>
    <t>R00642</t>
  </si>
  <si>
    <t>R00899</t>
  </si>
  <si>
    <t>R00631</t>
  </si>
  <si>
    <t>R00871</t>
  </si>
  <si>
    <t>R00707</t>
  </si>
  <si>
    <t>R01093</t>
  </si>
  <si>
    <t>R01080</t>
  </si>
  <si>
    <t>R00205</t>
  </si>
  <si>
    <t>R00935</t>
  </si>
  <si>
    <t>R01075</t>
  </si>
  <si>
    <t>R00162</t>
  </si>
  <si>
    <t>R01069</t>
  </si>
  <si>
    <t>R00584</t>
  </si>
  <si>
    <t>R01035</t>
  </si>
  <si>
    <t>R00874</t>
  </si>
  <si>
    <t>R01057</t>
  </si>
  <si>
    <t>R00622</t>
  </si>
  <si>
    <t>R01015</t>
  </si>
  <si>
    <t>R00857</t>
  </si>
  <si>
    <t>R00123</t>
  </si>
  <si>
    <t>R01047</t>
  </si>
  <si>
    <t>R00905</t>
  </si>
  <si>
    <t>R01041</t>
  </si>
  <si>
    <t>R00863</t>
  </si>
  <si>
    <t>R00914</t>
  </si>
  <si>
    <t>R00601</t>
  </si>
  <si>
    <t>R01099</t>
  </si>
  <si>
    <t>R01324</t>
  </si>
  <si>
    <t>R01360</t>
  </si>
  <si>
    <t>R01375</t>
  </si>
  <si>
    <t>R01390</t>
  </si>
  <si>
    <t>R01409</t>
  </si>
  <si>
    <t>R01414</t>
  </si>
  <si>
    <t>R00042</t>
  </si>
  <si>
    <t>R01425</t>
  </si>
  <si>
    <t>R00259</t>
  </si>
  <si>
    <t>R00434</t>
  </si>
  <si>
    <t>R00420</t>
  </si>
  <si>
    <t>R00403</t>
  </si>
  <si>
    <t>R00472</t>
  </si>
  <si>
    <t>R01466</t>
  </si>
  <si>
    <t>R00397</t>
  </si>
  <si>
    <t>R01473</t>
  </si>
  <si>
    <t>R00390</t>
  </si>
  <si>
    <t>R01485</t>
  </si>
  <si>
    <t>R00386</t>
  </si>
  <si>
    <t>R00381</t>
  </si>
  <si>
    <t>R00365</t>
  </si>
  <si>
    <t>R01540</t>
  </si>
  <si>
    <t>R01548</t>
  </si>
  <si>
    <t>R00345</t>
  </si>
  <si>
    <t>R00344</t>
  </si>
  <si>
    <t>R00332</t>
  </si>
  <si>
    <t>R01468</t>
  </si>
  <si>
    <t>R01302</t>
  </si>
  <si>
    <t>R00455</t>
  </si>
  <si>
    <t>R01288</t>
  </si>
  <si>
    <t>R00562</t>
  </si>
  <si>
    <t>R01112</t>
  </si>
  <si>
    <t>R00544</t>
  </si>
  <si>
    <t>R00524</t>
  </si>
  <si>
    <t>R00093</t>
  </si>
  <si>
    <t>R00504</t>
  </si>
  <si>
    <t>R01294</t>
  </si>
  <si>
    <t>R01186</t>
  </si>
  <si>
    <t>R00086</t>
  </si>
  <si>
    <t>R00237</t>
  </si>
  <si>
    <t>R00489</t>
  </si>
  <si>
    <t>R01185</t>
  </si>
  <si>
    <t>R01240</t>
  </si>
  <si>
    <t>R01213</t>
  </si>
  <si>
    <t>R01217</t>
  </si>
  <si>
    <t>R00242</t>
  </si>
  <si>
    <t>R01266</t>
  </si>
  <si>
    <t>R00474</t>
  </si>
  <si>
    <t>R00247</t>
  </si>
  <si>
    <t>R00217</t>
  </si>
  <si>
    <t>December</t>
  </si>
  <si>
    <t>R00353</t>
  </si>
  <si>
    <t>R00488</t>
  </si>
  <si>
    <t>R00556</t>
  </si>
  <si>
    <t>R00557</t>
  </si>
  <si>
    <t>R00460</t>
  </si>
  <si>
    <t>R00327</t>
  </si>
  <si>
    <t>R00282</t>
  </si>
  <si>
    <t>R00351</t>
  </si>
  <si>
    <t>R00689</t>
  </si>
  <si>
    <t>R00534</t>
  </si>
  <si>
    <t>R00361</t>
  </si>
  <si>
    <t>R00457</t>
  </si>
  <si>
    <t>R00680</t>
  </si>
  <si>
    <t>R00563</t>
  </si>
  <si>
    <t>R00731</t>
  </si>
  <si>
    <t>R00597</t>
  </si>
  <si>
    <t>R00502</t>
  </si>
  <si>
    <t>R00626</t>
  </si>
  <si>
    <t>R00616</t>
  </si>
  <si>
    <t>R00413</t>
  </si>
  <si>
    <t>R00354</t>
  </si>
  <si>
    <t>R00741</t>
  </si>
  <si>
    <t>R00143</t>
  </si>
  <si>
    <t>R01510</t>
  </si>
  <si>
    <t>R00120</t>
  </si>
  <si>
    <t>R01061</t>
  </si>
  <si>
    <t>R01518</t>
  </si>
  <si>
    <t>R01089</t>
  </si>
  <si>
    <t>R01508</t>
  </si>
  <si>
    <t>R01486</t>
  </si>
  <si>
    <t>R01097</t>
  </si>
  <si>
    <t>R01100</t>
  </si>
  <si>
    <t>R01113</t>
  </si>
  <si>
    <t>R01115</t>
  </si>
  <si>
    <t>R01133</t>
  </si>
  <si>
    <t>R01159</t>
  </si>
  <si>
    <t>R00122</t>
  </si>
  <si>
    <t>R00748</t>
  </si>
  <si>
    <t>R01447</t>
  </si>
  <si>
    <t>R01189</t>
  </si>
  <si>
    <t>R01194</t>
  </si>
  <si>
    <t>R01197</t>
  </si>
  <si>
    <t>R00082</t>
  </si>
  <si>
    <t>R01199</t>
  </si>
  <si>
    <t>R01207</t>
  </si>
  <si>
    <t>R01214</t>
  </si>
  <si>
    <t>R01440</t>
  </si>
  <si>
    <t>R01429</t>
  </si>
  <si>
    <t>R01258</t>
  </si>
  <si>
    <t>R01321</t>
  </si>
  <si>
    <t>R00091</t>
  </si>
  <si>
    <t>R01040</t>
  </si>
  <si>
    <t>R01357</t>
  </si>
  <si>
    <t>R01002</t>
  </si>
  <si>
    <t>R00876</t>
  </si>
  <si>
    <t>R01569</t>
  </si>
  <si>
    <t>R00862</t>
  </si>
  <si>
    <t>R00891</t>
  </si>
  <si>
    <t>R01594</t>
  </si>
  <si>
    <t>R01029</t>
  </si>
  <si>
    <t>R00173</t>
  </si>
  <si>
    <t>R00781</t>
  </si>
  <si>
    <t>R01539</t>
  </si>
  <si>
    <t>R00755</t>
  </si>
  <si>
    <t>R01585</t>
  </si>
  <si>
    <t>R00157</t>
  </si>
  <si>
    <t>R00153</t>
  </si>
  <si>
    <t>R00151</t>
  </si>
  <si>
    <t>R00936</t>
  </si>
  <si>
    <t>R00940</t>
  </si>
  <si>
    <t>R00315</t>
  </si>
  <si>
    <t>R00955</t>
  </si>
  <si>
    <t>R00972</t>
  </si>
  <si>
    <t>R00156</t>
  </si>
  <si>
    <t>R01592</t>
  </si>
  <si>
    <t>R01419</t>
  </si>
  <si>
    <t>R01427</t>
  </si>
  <si>
    <t>R00325</t>
  </si>
  <si>
    <t>R00326</t>
  </si>
  <si>
    <t>R01404</t>
  </si>
  <si>
    <t>R01402</t>
  </si>
  <si>
    <t>R00408</t>
  </si>
  <si>
    <t>R01566</t>
  </si>
  <si>
    <t>R01454</t>
  </si>
  <si>
    <t>R01464</t>
  </si>
  <si>
    <t>R01471</t>
  </si>
  <si>
    <t>R01560</t>
  </si>
  <si>
    <t>R00395</t>
  </si>
  <si>
    <t>R01478</t>
  </si>
  <si>
    <t>R00357</t>
  </si>
  <si>
    <t>R01507</t>
  </si>
  <si>
    <t>R01376</t>
  </si>
  <si>
    <t>R01533</t>
  </si>
  <si>
    <t>R01578</t>
  </si>
  <si>
    <t>R00753</t>
  </si>
  <si>
    <t>R01170</t>
  </si>
  <si>
    <t>R00464</t>
  </si>
  <si>
    <t>R00724</t>
  </si>
  <si>
    <t>R00812</t>
  </si>
  <si>
    <t>R00695</t>
  </si>
  <si>
    <t>R00884</t>
  </si>
  <si>
    <t>R00672</t>
  </si>
  <si>
    <t>R00668</t>
  </si>
  <si>
    <t>R00661</t>
  </si>
  <si>
    <t>R00649</t>
  </si>
  <si>
    <t>R00892</t>
  </si>
  <si>
    <t>R00895</t>
  </si>
  <si>
    <t>R00919</t>
  </si>
  <si>
    <t>R00949</t>
  </si>
  <si>
    <t>R01065</t>
  </si>
  <si>
    <t>R01088</t>
  </si>
  <si>
    <t>R01095</t>
  </si>
  <si>
    <t>R01096</t>
  </si>
  <si>
    <t>R00566</t>
  </si>
  <si>
    <t>R00554</t>
  </si>
  <si>
    <t>R00538</t>
  </si>
  <si>
    <t>R00525</t>
  </si>
  <si>
    <t>R01162</t>
  </si>
  <si>
    <t>R00513</t>
  </si>
  <si>
    <t>R00507</t>
  </si>
  <si>
    <t>R01188</t>
  </si>
  <si>
    <t>R01231</t>
  </si>
  <si>
    <t>R01248</t>
  </si>
  <si>
    <t>R01254</t>
  </si>
  <si>
    <t>R01286</t>
  </si>
  <si>
    <t>R01340</t>
  </si>
  <si>
    <t>R01346</t>
  </si>
  <si>
    <t>R00294</t>
  </si>
  <si>
    <t>R01600</t>
  </si>
  <si>
    <t>R00062</t>
  </si>
  <si>
    <t>R00117</t>
  </si>
  <si>
    <t>R00075</t>
  </si>
  <si>
    <t>R00211</t>
  </si>
  <si>
    <t>R00164</t>
  </si>
  <si>
    <t>R00058</t>
  </si>
  <si>
    <t>R00260</t>
  </si>
  <si>
    <t>R00044</t>
  </si>
  <si>
    <t>R00103</t>
  </si>
  <si>
    <t>R00046</t>
  </si>
  <si>
    <t>R00063</t>
  </si>
  <si>
    <t>R00133</t>
  </si>
  <si>
    <t>R00025</t>
  </si>
  <si>
    <t>R00016</t>
  </si>
  <si>
    <t>R00249</t>
  </si>
  <si>
    <t>R00840</t>
  </si>
  <si>
    <t>January</t>
  </si>
  <si>
    <t>R01456</t>
  </si>
  <si>
    <t>R00970</t>
  </si>
  <si>
    <t>R01459</t>
  </si>
  <si>
    <t>R01558</t>
  </si>
  <si>
    <t>R01077</t>
  </si>
  <si>
    <t>R00647</t>
  </si>
  <si>
    <t>R01082</t>
  </si>
  <si>
    <t>R01086</t>
  </si>
  <si>
    <t>R00269</t>
  </si>
  <si>
    <t>R01151</t>
  </si>
  <si>
    <t>R00818</t>
  </si>
  <si>
    <t>R00583</t>
  </si>
  <si>
    <t>R00360</t>
  </si>
  <si>
    <t>R00359</t>
  </si>
  <si>
    <t>R01282</t>
  </si>
  <si>
    <t>R01416</t>
  </si>
  <si>
    <t>R00105</t>
  </si>
  <si>
    <t>R01328</t>
  </si>
  <si>
    <t>R01570</t>
  </si>
  <si>
    <t>R00883</t>
  </si>
  <si>
    <t>R01587</t>
  </si>
  <si>
    <t>R01474</t>
  </si>
  <si>
    <t>R00384</t>
  </si>
  <si>
    <t>R01543</t>
  </si>
  <si>
    <t>R01052</t>
  </si>
  <si>
    <t>R01537</t>
  </si>
  <si>
    <t>R00551</t>
  </si>
  <si>
    <t>R00264</t>
  </si>
  <si>
    <t>R01446</t>
  </si>
  <si>
    <t>R00124</t>
  </si>
  <si>
    <t>R01308</t>
  </si>
  <si>
    <t>R00398</t>
  </si>
  <si>
    <t>R00438</t>
  </si>
  <si>
    <t>R01222</t>
  </si>
  <si>
    <t>R00287</t>
  </si>
  <si>
    <t>R00127</t>
  </si>
  <si>
    <t>R01064</t>
  </si>
  <si>
    <t>R00974</t>
  </si>
  <si>
    <t>R00267</t>
  </si>
  <si>
    <t>R00389</t>
  </si>
  <si>
    <t>R00844</t>
  </si>
  <si>
    <t>R01476</t>
  </si>
  <si>
    <t>R00199</t>
  </si>
  <si>
    <t>R01237</t>
  </si>
  <si>
    <t>R00130</t>
  </si>
  <si>
    <t>R00814</t>
  </si>
  <si>
    <t>R00608</t>
  </si>
  <si>
    <t>R01006</t>
  </si>
  <si>
    <t>R00793</t>
  </si>
  <si>
    <t>R00519</t>
  </si>
  <si>
    <t>R01284</t>
  </si>
  <si>
    <t>R00090</t>
  </si>
  <si>
    <t>R01011</t>
  </si>
  <si>
    <t>R00541</t>
  </si>
  <si>
    <t>R01259</t>
  </si>
  <si>
    <t>R00138</t>
  </si>
  <si>
    <t>R00506</t>
  </si>
  <si>
    <t>R00048</t>
  </si>
  <si>
    <t>R01145</t>
  </si>
  <si>
    <t>R00321</t>
  </si>
  <si>
    <t>R00022</t>
  </si>
  <si>
    <t>R01579</t>
  </si>
  <si>
    <t>R00565</t>
  </si>
  <si>
    <t>R01122</t>
  </si>
  <si>
    <t>R01582</t>
  </si>
  <si>
    <t>R01000</t>
  </si>
  <si>
    <t>R00560</t>
  </si>
  <si>
    <t>R00960</t>
  </si>
  <si>
    <t>R01114</t>
  </si>
  <si>
    <t>R00988</t>
  </si>
  <si>
    <t>R00101</t>
  </si>
  <si>
    <t>R01406</t>
  </si>
  <si>
    <t>R01576</t>
  </si>
  <si>
    <t>R00161</t>
  </si>
  <si>
    <t>R00720</t>
  </si>
  <si>
    <t>R00579</t>
  </si>
  <si>
    <t>R00054</t>
  </si>
  <si>
    <t>R01403</t>
  </si>
  <si>
    <t>R00678</t>
  </si>
  <si>
    <t>R00737</t>
  </si>
  <si>
    <t>R00599</t>
  </si>
  <si>
    <t>July</t>
  </si>
  <si>
    <t>R00414</t>
  </si>
  <si>
    <t>R00902</t>
  </si>
  <si>
    <t>R01500</t>
  </si>
  <si>
    <t>R00145</t>
  </si>
  <si>
    <t>R00019</t>
  </si>
  <si>
    <t>R01219</t>
  </si>
  <si>
    <t>R00450</t>
  </si>
  <si>
    <t>R01018</t>
  </si>
  <si>
    <t>R00441</t>
  </si>
  <si>
    <t>R01525</t>
  </si>
  <si>
    <t>R00026</t>
  </si>
  <si>
    <t>R00147</t>
  </si>
  <si>
    <t>R01034</t>
  </si>
  <si>
    <t>R00558</t>
  </si>
  <si>
    <t>R00431</t>
  </si>
  <si>
    <t>R00166</t>
  </si>
  <si>
    <t>R00924</t>
  </si>
  <si>
    <t>R01028</t>
  </si>
  <si>
    <t>R01236</t>
  </si>
  <si>
    <t>R00875</t>
  </si>
  <si>
    <t>R00447</t>
  </si>
  <si>
    <t>R00131</t>
  </si>
  <si>
    <t>R00536</t>
  </si>
  <si>
    <t>R00537</t>
  </si>
  <si>
    <t>R00979</t>
  </si>
  <si>
    <t>R01056</t>
  </si>
  <si>
    <t>R00841</t>
  </si>
  <si>
    <t>R00169</t>
  </si>
  <si>
    <t>R00505</t>
  </si>
  <si>
    <t>R00188</t>
  </si>
  <si>
    <t>R01131</t>
  </si>
  <si>
    <t>R01399</t>
  </si>
  <si>
    <t>R00098</t>
  </si>
  <si>
    <t>R01345</t>
  </si>
  <si>
    <t>R00056</t>
  </si>
  <si>
    <t>R00319</t>
  </si>
  <si>
    <t>R01347</t>
  </si>
  <si>
    <t>R01348</t>
  </si>
  <si>
    <t>R00285</t>
  </si>
  <si>
    <t>R00174</t>
  </si>
  <si>
    <t>R01584</t>
  </si>
  <si>
    <t>R00097</t>
  </si>
  <si>
    <t>R00712</t>
  </si>
  <si>
    <t>R00715</t>
  </si>
  <si>
    <t>R01386</t>
  </si>
  <si>
    <t>R00305</t>
  </si>
  <si>
    <t>R00758</t>
  </si>
  <si>
    <t>R00300</t>
  </si>
  <si>
    <t>R00757</t>
  </si>
  <si>
    <t>R00752</t>
  </si>
  <si>
    <t>R00517</t>
  </si>
  <si>
    <t>R01154</t>
  </si>
  <si>
    <t>R00749</t>
  </si>
  <si>
    <t>R01597</t>
  </si>
  <si>
    <t>R00747</t>
  </si>
  <si>
    <t>R00280</t>
  </si>
  <si>
    <t>R01450</t>
  </si>
  <si>
    <t>R01184</t>
  </si>
  <si>
    <t>R00023</t>
  </si>
  <si>
    <t>R01545</t>
  </si>
  <si>
    <t>R01054</t>
  </si>
  <si>
    <t>R00613</t>
  </si>
  <si>
    <t>R01445</t>
  </si>
  <si>
    <t>R00515</t>
  </si>
  <si>
    <t>R01060</t>
  </si>
  <si>
    <t>R01499</t>
  </si>
  <si>
    <t>R00526</t>
  </si>
  <si>
    <t>R00499</t>
  </si>
  <si>
    <t>R00971</t>
  </si>
  <si>
    <t>R01338</t>
  </si>
  <si>
    <t>R00645</t>
  </si>
  <si>
    <t>R01428</t>
  </si>
  <si>
    <t>R00644</t>
  </si>
  <si>
    <t>R00077</t>
  </si>
  <si>
    <t>R00348</t>
  </si>
  <si>
    <t>R00674</t>
  </si>
  <si>
    <t>R00803</t>
  </si>
  <si>
    <t>R01105</t>
  </si>
  <si>
    <t>R00276</t>
  </si>
  <si>
    <t>R00195</t>
  </si>
  <si>
    <t>R01325</t>
  </si>
  <si>
    <t>R01090</t>
  </si>
  <si>
    <t>R00820</t>
  </si>
  <si>
    <t>R00230</t>
  </si>
  <si>
    <t>R01323</t>
  </si>
  <si>
    <t>R01245</t>
  </si>
  <si>
    <t>R00065</t>
  </si>
  <si>
    <t>R00951</t>
  </si>
  <si>
    <t>R00943</t>
  </si>
  <si>
    <t>R00746</t>
  </si>
  <si>
    <t>R00527</t>
  </si>
  <si>
    <t>R00953</t>
  </si>
  <si>
    <t>R00553</t>
  </si>
  <si>
    <t>R00629</t>
  </si>
  <si>
    <t>R00633</t>
  </si>
  <si>
    <t>R00640</t>
  </si>
  <si>
    <t>R00834</t>
  </si>
  <si>
    <t>R00656</t>
  </si>
  <si>
    <t>R01330</t>
  </si>
  <si>
    <t>R01434</t>
  </si>
  <si>
    <t>R00681</t>
  </si>
  <si>
    <t>R00789</t>
  </si>
  <si>
    <t>R00710</t>
  </si>
  <si>
    <t>R00762</t>
  </si>
  <si>
    <t>R00182</t>
  </si>
  <si>
    <t>R00751</t>
  </si>
  <si>
    <t>R01371</t>
  </si>
  <si>
    <t>R01341</t>
  </si>
  <si>
    <t>R00552</t>
  </si>
  <si>
    <t>R00623</t>
  </si>
  <si>
    <t>R01436</t>
  </si>
  <si>
    <t>R01279</t>
  </si>
  <si>
    <t>R00910</t>
  </si>
  <si>
    <t>R00221</t>
  </si>
  <si>
    <t>R00901</t>
  </si>
  <si>
    <t>R01462</t>
  </si>
  <si>
    <t>R00158</t>
  </si>
  <si>
    <t>R00202</t>
  </si>
  <si>
    <t>R00898</t>
  </si>
  <si>
    <t>R00886</t>
  </si>
  <si>
    <t>R01291</t>
  </si>
  <si>
    <t>R00592</t>
  </si>
  <si>
    <t>R00865</t>
  </si>
  <si>
    <t>R00605</t>
  </si>
  <si>
    <t>R00170</t>
  </si>
  <si>
    <t>R00896</t>
  </si>
  <si>
    <t>R01264</t>
  </si>
  <si>
    <t>R01368</t>
  </si>
  <si>
    <t>R01241</t>
  </si>
  <si>
    <t>R01513</t>
  </si>
  <si>
    <t>R00997</t>
  </si>
  <si>
    <t>R00998</t>
  </si>
  <si>
    <t>R00999</t>
  </si>
  <si>
    <t>R01142</t>
  </si>
  <si>
    <t>R01076</t>
  </si>
  <si>
    <t>R01010</t>
  </si>
  <si>
    <t>R01234</t>
  </si>
  <si>
    <t>R00456</t>
  </si>
  <si>
    <t>R00309</t>
  </si>
  <si>
    <t>R01233</t>
  </si>
  <si>
    <t>R01021</t>
  </si>
  <si>
    <t>R01026</t>
  </si>
  <si>
    <t>R00437</t>
  </si>
  <si>
    <t>R01556</t>
  </si>
  <si>
    <t>R01527</t>
  </si>
  <si>
    <t>R00428</t>
  </si>
  <si>
    <t>R00128</t>
  </si>
  <si>
    <t>R01531</t>
  </si>
  <si>
    <t>R01547</t>
  </si>
  <si>
    <t>R01020</t>
  </si>
  <si>
    <t>R00479</t>
  </si>
  <si>
    <t>R01218</t>
  </si>
  <si>
    <t>R00977</t>
  </si>
  <si>
    <t>R01252</t>
  </si>
  <si>
    <t>R00292</t>
  </si>
  <si>
    <t>R00238</t>
  </si>
  <si>
    <t>R01174</t>
  </si>
  <si>
    <t>R01581</t>
  </si>
  <si>
    <t>R00962</t>
  </si>
  <si>
    <t>R00487</t>
  </si>
  <si>
    <t>R00331</t>
  </si>
  <si>
    <t>R00804</t>
  </si>
  <si>
    <t>R00175</t>
  </si>
  <si>
    <t>R00329</t>
  </si>
  <si>
    <t>R01070</t>
  </si>
  <si>
    <t>R01215</t>
  </si>
  <si>
    <t>R01314</t>
  </si>
  <si>
    <t>R00765</t>
  </si>
  <si>
    <t>R01126</t>
  </si>
  <si>
    <t>R01487</t>
  </si>
  <si>
    <t>R00845</t>
  </si>
  <si>
    <t>R01553</t>
  </si>
  <si>
    <t>R00764</t>
  </si>
  <si>
    <t>R00691</t>
  </si>
  <si>
    <t>R00394</t>
  </si>
  <si>
    <t>R00621</t>
  </si>
  <si>
    <t>R00399</t>
  </si>
  <si>
    <t>R01441</t>
  </si>
  <si>
    <t>R01551</t>
  </si>
  <si>
    <t>R00323</t>
  </si>
  <si>
    <t>R01588</t>
  </si>
  <si>
    <t>R01388</t>
  </si>
  <si>
    <t>R00704</t>
  </si>
  <si>
    <t>R01305</t>
  </si>
  <si>
    <t>R01542</t>
  </si>
  <si>
    <t>R01311</t>
  </si>
  <si>
    <t>R00076</t>
  </si>
  <si>
    <t>R01315</t>
  </si>
  <si>
    <t>R00690</t>
  </si>
  <si>
    <t>R00805</t>
  </si>
  <si>
    <t>R01198</t>
  </si>
  <si>
    <t>R01568</t>
  </si>
  <si>
    <t>R00347</t>
  </si>
  <si>
    <t>R00663</t>
  </si>
  <si>
    <t>R00677</t>
  </si>
  <si>
    <t>R01353</t>
  </si>
  <si>
    <t>R00194</t>
  </si>
  <si>
    <t>R00346</t>
  </si>
  <si>
    <t>R01117</t>
  </si>
  <si>
    <t>R00819</t>
  </si>
  <si>
    <t>R00338</t>
  </si>
  <si>
    <t>R01565</t>
  </si>
  <si>
    <t>R00686</t>
  </si>
  <si>
    <t>R00112</t>
  </si>
  <si>
    <t>R01563</t>
  </si>
  <si>
    <t>R00411</t>
  </si>
  <si>
    <t>R01320</t>
  </si>
  <si>
    <t>R01210</t>
  </si>
  <si>
    <t>R00376</t>
  </si>
  <si>
    <t>R00197</t>
  </si>
  <si>
    <t>R00379</t>
  </si>
  <si>
    <t>R00835</t>
  </si>
  <si>
    <t>R00637</t>
  </si>
  <si>
    <t>R00057</t>
  </si>
  <si>
    <t>R00084</t>
  </si>
  <si>
    <t>R00092</t>
  </si>
  <si>
    <t>R00113</t>
  </si>
  <si>
    <t>R00855</t>
  </si>
  <si>
    <t>R01465</t>
  </si>
  <si>
    <t>R01593</t>
  </si>
  <si>
    <t>R00146</t>
  </si>
  <si>
    <t>R00491</t>
  </si>
  <si>
    <t>R00031</t>
  </si>
  <si>
    <t>R00543</t>
  </si>
  <si>
    <t>R01016</t>
  </si>
  <si>
    <t>R00575</t>
  </si>
  <si>
    <t>R00251</t>
  </si>
  <si>
    <t>R00241</t>
  </si>
  <si>
    <t>R00440</t>
  </si>
  <si>
    <t>R00945</t>
  </si>
  <si>
    <t>R00228</t>
  </si>
  <si>
    <t>R01032</t>
  </si>
  <si>
    <t>R01272</t>
  </si>
  <si>
    <t>R01275</t>
  </si>
  <si>
    <t>R00179</t>
  </si>
  <si>
    <t>R01281</t>
  </si>
  <si>
    <t>R01268</t>
  </si>
  <si>
    <t>R00484</t>
  </si>
  <si>
    <t>R01036</t>
  </si>
  <si>
    <t>R00067</t>
  </si>
  <si>
    <t>R01379</t>
  </si>
  <si>
    <t>R01595</t>
  </si>
  <si>
    <t>R01164</t>
  </si>
  <si>
    <t>R00730</t>
  </si>
  <si>
    <t>R01049</t>
  </si>
  <si>
    <t>R01277</t>
  </si>
  <si>
    <t>R00478</t>
  </si>
  <si>
    <t>R01190</t>
  </si>
  <si>
    <t>May</t>
  </si>
  <si>
    <t>R00682</t>
  </si>
  <si>
    <t>R01106</t>
  </si>
  <si>
    <t>R00810</t>
  </si>
  <si>
    <t>R00799</t>
  </si>
  <si>
    <t>R00985</t>
  </si>
  <si>
    <t>R01506</t>
  </si>
  <si>
    <t>R00279</t>
  </si>
  <si>
    <t>R01334</t>
  </si>
  <si>
    <t>R00415</t>
  </si>
  <si>
    <t>R01119</t>
  </si>
  <si>
    <t>R01583</t>
  </si>
  <si>
    <t>R00184</t>
  </si>
  <si>
    <t>R00316</t>
  </si>
  <si>
    <t>R00711</t>
  </si>
  <si>
    <t>R00511</t>
  </si>
  <si>
    <t>R00322</t>
  </si>
  <si>
    <t>R00963</t>
  </si>
  <si>
    <t>R01394</t>
  </si>
  <si>
    <t>R01175</t>
  </si>
  <si>
    <t>R00281</t>
  </si>
  <si>
    <t>R00947</t>
  </si>
  <si>
    <t>R00694</t>
  </si>
  <si>
    <t>R00231</t>
  </si>
  <si>
    <t>R00742</t>
  </si>
  <si>
    <t>R01370</t>
  </si>
  <si>
    <t>R01165</t>
  </si>
  <si>
    <t>R00688</t>
  </si>
  <si>
    <t>R01505</t>
  </si>
  <si>
    <t>R01200</t>
  </si>
  <si>
    <t>R00150</t>
  </si>
  <si>
    <t>R00815</t>
  </si>
  <si>
    <t>R01524</t>
  </si>
  <si>
    <t>R00442</t>
  </si>
  <si>
    <t>R00218</t>
  </si>
  <si>
    <t>R00887</t>
  </si>
  <si>
    <t>R00436</t>
  </si>
  <si>
    <t>R01382</t>
  </si>
  <si>
    <t>R00433</t>
  </si>
  <si>
    <t>R00589</t>
  </si>
  <si>
    <t>R00129</t>
  </si>
  <si>
    <t>R01062</t>
  </si>
  <si>
    <t>R01307</t>
  </si>
  <si>
    <t>R01038</t>
  </si>
  <si>
    <t>R01225</t>
  </si>
  <si>
    <t>R01550</t>
  </si>
  <si>
    <t>R00183</t>
  </si>
  <si>
    <t>R01298</t>
  </si>
  <si>
    <t>R00727</t>
  </si>
  <si>
    <t>R00990</t>
  </si>
  <si>
    <t>R01432</t>
  </si>
  <si>
    <t>R00732</t>
  </si>
  <si>
    <t>R01211</t>
  </si>
  <si>
    <t>R00920</t>
  </si>
  <si>
    <t>R01452</t>
  </si>
  <si>
    <t>R00225</t>
  </si>
  <si>
    <t>R01516</t>
  </si>
  <si>
    <t>R00719</t>
  </si>
  <si>
    <t>R00824</t>
  </si>
  <si>
    <t>R00653</t>
  </si>
  <si>
    <t>R00178</t>
  </si>
  <si>
    <t>R00387</t>
  </si>
  <si>
    <t>R01168</t>
  </si>
  <si>
    <t>R00828</t>
  </si>
  <si>
    <t>R00463</t>
  </si>
  <si>
    <t>R00372</t>
  </si>
  <si>
    <t>R01519</t>
  </si>
  <si>
    <t>R01319</t>
  </si>
  <si>
    <t>R00366</t>
  </si>
  <si>
    <t>R01352</t>
  </si>
  <si>
    <t>November</t>
  </si>
  <si>
    <t>R01362</t>
  </si>
  <si>
    <t>R01144</t>
  </si>
  <si>
    <t>R01139</t>
  </si>
  <si>
    <t>R01149</t>
  </si>
  <si>
    <t>R01263</t>
  </si>
  <si>
    <t>R00786</t>
  </si>
  <si>
    <t>R00957</t>
  </si>
  <si>
    <t>R01255</t>
  </si>
  <si>
    <t>R00139</t>
  </si>
  <si>
    <t>R00942</t>
  </si>
  <si>
    <t>R00930</t>
  </si>
  <si>
    <t>R00922</t>
  </si>
  <si>
    <t>R01003</t>
  </si>
  <si>
    <t>R00908</t>
  </si>
  <si>
    <t>R00907</t>
  </si>
  <si>
    <t>R01283</t>
  </si>
  <si>
    <t>R00135</t>
  </si>
  <si>
    <t>R00897</t>
  </si>
  <si>
    <t>R00888</t>
  </si>
  <si>
    <t>R01292</t>
  </si>
  <si>
    <t>R01293</t>
  </si>
  <si>
    <t>R00869</t>
  </si>
  <si>
    <t>R00864</t>
  </si>
  <si>
    <t>R00787</t>
  </si>
  <si>
    <t>R01337</t>
  </si>
  <si>
    <t>R00110</t>
  </si>
  <si>
    <t>R00817</t>
  </si>
  <si>
    <t>R01092</t>
  </si>
  <si>
    <t>R00822</t>
  </si>
  <si>
    <t>R01135</t>
  </si>
  <si>
    <t>R00823</t>
  </si>
  <si>
    <t>R01071</t>
  </si>
  <si>
    <t>R00846</t>
  </si>
  <si>
    <t>R01309</t>
  </si>
  <si>
    <t>R00852</t>
  </si>
  <si>
    <t>R01055</t>
  </si>
  <si>
    <t>R00168</t>
  </si>
  <si>
    <t>R01074</t>
  </si>
  <si>
    <t>R00288</t>
  </si>
  <si>
    <t>R00725</t>
  </si>
  <si>
    <t>R00743</t>
  </si>
  <si>
    <t>R00510</t>
  </si>
  <si>
    <t>R00530</t>
  </si>
  <si>
    <t>R00030</t>
  </si>
  <si>
    <t>R00561</t>
  </si>
  <si>
    <t>R00222</t>
  </si>
  <si>
    <t>R00216</t>
  </si>
  <si>
    <t>R00585</t>
  </si>
  <si>
    <t>R01460</t>
  </si>
  <si>
    <t>R00209</t>
  </si>
  <si>
    <t>R01455</t>
  </si>
  <si>
    <t>R00603</t>
  </si>
  <si>
    <t>R00033</t>
  </si>
  <si>
    <t>R00036</t>
  </si>
  <si>
    <t>R00201</t>
  </si>
  <si>
    <t>R01433</t>
  </si>
  <si>
    <t>R00658</t>
  </si>
  <si>
    <t>R00670</t>
  </si>
  <si>
    <t>R00236</t>
  </si>
  <si>
    <t>R00021</t>
  </si>
  <si>
    <t>R00244</t>
  </si>
  <si>
    <t>R00473</t>
  </si>
  <si>
    <t>R01598</t>
  </si>
  <si>
    <t>R00317</t>
  </si>
  <si>
    <t>R00328</t>
  </si>
  <si>
    <t>R00334</t>
  </si>
  <si>
    <t>R00340</t>
  </si>
  <si>
    <t>R01571</t>
  </si>
  <si>
    <t>R00272</t>
  </si>
  <si>
    <t>R00371</t>
  </si>
  <si>
    <t>R00675</t>
  </si>
  <si>
    <t>R00377</t>
  </si>
  <si>
    <t>R00013</t>
  </si>
  <si>
    <t>R01536</t>
  </si>
  <si>
    <t>R00425</t>
  </si>
  <si>
    <t>R00255</t>
  </si>
  <si>
    <t>R00254</t>
  </si>
  <si>
    <t>R00253</t>
  </si>
  <si>
    <t>R00459</t>
  </si>
  <si>
    <t>R00470</t>
  </si>
  <si>
    <t>R01557</t>
  </si>
  <si>
    <t>R00189</t>
  </si>
  <si>
    <t>R00514</t>
  </si>
  <si>
    <t>R00733</t>
  </si>
  <si>
    <t>R00713</t>
  </si>
  <si>
    <t>R00716</t>
  </si>
  <si>
    <t>R00187</t>
  </si>
  <si>
    <t>R00700</t>
  </si>
  <si>
    <t>R01396</t>
  </si>
  <si>
    <t>R01377</t>
  </si>
  <si>
    <t>R00790</t>
  </si>
  <si>
    <t>October</t>
  </si>
  <si>
    <t>R01296</t>
  </si>
  <si>
    <t>R00177</t>
  </si>
  <si>
    <t>R01526</t>
  </si>
  <si>
    <t>R01529</t>
  </si>
  <si>
    <t>R00760</t>
  </si>
  <si>
    <t>R01223</t>
  </si>
  <si>
    <t>R00932</t>
  </si>
  <si>
    <t>R00207</t>
  </si>
  <si>
    <t>R00856</t>
  </si>
  <si>
    <t>R00728</t>
  </si>
  <si>
    <t>R00400</t>
  </si>
  <si>
    <t>R00074</t>
  </si>
  <si>
    <t>R00265</t>
  </si>
  <si>
    <t>R00705</t>
  </si>
  <si>
    <t>R01067</t>
  </si>
  <si>
    <t>R00627</t>
  </si>
  <si>
    <t>R01068</t>
  </si>
  <si>
    <t>R00858</t>
  </si>
  <si>
    <t>R01235</t>
  </si>
  <si>
    <t>R01005</t>
  </si>
  <si>
    <t>R01380</t>
  </si>
  <si>
    <t>R00148</t>
  </si>
  <si>
    <t>R00549</t>
  </si>
  <si>
    <t>R00066</t>
  </si>
  <si>
    <t>R00952</t>
  </si>
  <si>
    <t>R00913</t>
  </si>
  <si>
    <t>R00958</t>
  </si>
  <si>
    <t>R00959</t>
  </si>
  <si>
    <t>R00509</t>
  </si>
  <si>
    <t>R00508</t>
  </si>
  <si>
    <t>R00064</t>
  </si>
  <si>
    <t>R00219</t>
  </si>
  <si>
    <t>R00577</t>
  </si>
  <si>
    <t>R00980</t>
  </si>
  <si>
    <t>R00768</t>
  </si>
  <si>
    <t>R00986</t>
  </si>
  <si>
    <t>R00889</t>
  </si>
  <si>
    <t>R01242</t>
  </si>
  <si>
    <t>R00776</t>
  </si>
  <si>
    <t>R01514</t>
  </si>
  <si>
    <t>R00137</t>
  </si>
  <si>
    <t>R00587</t>
  </si>
  <si>
    <t>R01458</t>
  </si>
  <si>
    <t>R00382</t>
  </si>
  <si>
    <t>R00121</t>
  </si>
  <si>
    <t>R00703</t>
  </si>
  <si>
    <t>R00821</t>
  </si>
  <si>
    <t>R00286</t>
  </si>
  <si>
    <t>R01373</t>
  </si>
  <si>
    <t>R00702</t>
  </si>
  <si>
    <t>R01171</t>
  </si>
  <si>
    <t>R01586</t>
  </si>
  <si>
    <t>R00660</t>
  </si>
  <si>
    <t>R01423</t>
  </si>
  <si>
    <t>R01572</t>
  </si>
  <si>
    <t>R01393</t>
  </si>
  <si>
    <t>R00051</t>
  </si>
  <si>
    <t>R00634</t>
  </si>
  <si>
    <t>R01412</t>
  </si>
  <si>
    <t>R00811</t>
  </si>
  <si>
    <t>R00669</t>
  </si>
  <si>
    <t>R00807</t>
  </si>
  <si>
    <t>R01364</t>
  </si>
  <si>
    <t>R00099</t>
  </si>
  <si>
    <t>R01417</t>
  </si>
  <si>
    <t>R01167</t>
  </si>
  <si>
    <t>R01410</t>
  </si>
  <si>
    <t>R00369</t>
  </si>
  <si>
    <t>R00641</t>
  </si>
  <si>
    <t>R00352</t>
  </si>
  <si>
    <t>R01156</t>
  </si>
  <si>
    <t>R01195</t>
  </si>
  <si>
    <t>R01431</t>
  </si>
  <si>
    <t>R00080</t>
  </si>
  <si>
    <t>R00198</t>
  </si>
  <si>
    <t>R01102</t>
  </si>
  <si>
    <t>R00274</t>
  </si>
  <si>
    <t>R01270</t>
  </si>
  <si>
    <t>September</t>
  </si>
  <si>
    <t>R00531</t>
  </si>
  <si>
    <t>R00938</t>
  </si>
  <si>
    <t>R01253</t>
  </si>
  <si>
    <t>R00532</t>
  </si>
  <si>
    <t>R01138</t>
  </si>
  <si>
    <t>R00494</t>
  </si>
  <si>
    <t>R01596</t>
  </si>
  <si>
    <t>R00497</t>
  </si>
  <si>
    <t>R00744</t>
  </si>
  <si>
    <t>R01158</t>
  </si>
  <si>
    <t>R00516</t>
  </si>
  <si>
    <t>R00967</t>
  </si>
  <si>
    <t>R01492</t>
  </si>
  <si>
    <t>R01490</t>
  </si>
  <si>
    <t>R00176</t>
  </si>
  <si>
    <t>R00307</t>
  </si>
  <si>
    <t>R01169</t>
  </si>
  <si>
    <t>R00523</t>
  </si>
  <si>
    <t>R00024</t>
  </si>
  <si>
    <t>R00293</t>
  </si>
  <si>
    <t>R01356</t>
  </si>
  <si>
    <t>R00770</t>
  </si>
  <si>
    <t>R01384</t>
  </si>
  <si>
    <t>R01251</t>
  </si>
  <si>
    <t>R00756</t>
  </si>
  <si>
    <t>R01079</t>
  </si>
  <si>
    <t>R00370</t>
  </si>
  <si>
    <t>R00268</t>
  </si>
  <si>
    <t>R00391</t>
  </si>
  <si>
    <t>R01202</t>
  </si>
  <si>
    <t>R01358</t>
  </si>
  <si>
    <t>R00083</t>
  </si>
  <si>
    <t>R00017</t>
  </si>
  <si>
    <t>R01046</t>
  </si>
  <si>
    <t>R00350</t>
  </si>
  <si>
    <t>R01193</t>
  </si>
  <si>
    <t>R00430</t>
  </si>
  <si>
    <t>R00432</t>
  </si>
  <si>
    <t>R01023</t>
  </si>
  <si>
    <t>R00449</t>
  </si>
  <si>
    <t>R00278</t>
  </si>
  <si>
    <t>R00454</t>
  </si>
  <si>
    <t>R01163</t>
  </si>
  <si>
    <t>R00763</t>
  </si>
  <si>
    <t>R00736</t>
  </si>
  <si>
    <t>R00458</t>
  </si>
  <si>
    <t>R01008</t>
  </si>
  <si>
    <t>R00461</t>
  </si>
  <si>
    <t>R00335</t>
  </si>
  <si>
    <t>R00330</t>
  </si>
  <si>
    <t>R01509</t>
  </si>
  <si>
    <t>R00981</t>
  </si>
  <si>
    <t>R00535</t>
  </si>
  <si>
    <t>R00094</t>
  </si>
  <si>
    <t>R00861</t>
  </si>
  <si>
    <t>R00773</t>
  </si>
  <si>
    <t>R00041</t>
  </si>
  <si>
    <t>R00774</t>
  </si>
  <si>
    <t>R00657</t>
  </si>
  <si>
    <t>R00039</t>
  </si>
  <si>
    <t>R00825</t>
  </si>
  <si>
    <t>R00652</t>
  </si>
  <si>
    <t>R01322</t>
  </si>
  <si>
    <t>R00578</t>
  </si>
  <si>
    <t>R00894</t>
  </si>
  <si>
    <t>R00636</t>
  </si>
  <si>
    <t>R00580</t>
  </si>
  <si>
    <t>R00843</t>
  </si>
  <si>
    <t>R00625</t>
  </si>
  <si>
    <t>R00851</t>
  </si>
  <si>
    <t>R00206</t>
  </si>
  <si>
    <t>R01350</t>
  </si>
  <si>
    <t>R00853</t>
  </si>
  <si>
    <t>R00929</t>
  </si>
  <si>
    <t>R01449</t>
  </si>
  <si>
    <t>R00879</t>
  </si>
  <si>
    <t>R00165</t>
  </si>
  <si>
    <t>R00060</t>
  </si>
  <si>
    <t>R00911</t>
  </si>
  <si>
    <t>R01332</t>
  </si>
  <si>
    <t>R01287</t>
  </si>
  <si>
    <t>R01470</t>
  </si>
  <si>
    <t>R01274</t>
  </si>
  <si>
    <t>R01401</t>
  </si>
  <si>
    <t>R00692</t>
  </si>
  <si>
    <t>R01483</t>
  </si>
  <si>
    <t>R01276</t>
  </si>
  <si>
    <t>R00546</t>
  </si>
  <si>
    <t>R00684</t>
  </si>
  <si>
    <t>R01408</t>
  </si>
  <si>
    <t>R00918</t>
  </si>
  <si>
    <t>R00600</t>
  </si>
  <si>
    <t>R00915</t>
  </si>
  <si>
    <t>R01411</t>
  </si>
  <si>
    <t>R01280</t>
  </si>
  <si>
    <t>R01058</t>
  </si>
  <si>
    <t>R00096</t>
  </si>
  <si>
    <t>R00407</t>
  </si>
  <si>
    <t>R01306</t>
  </si>
  <si>
    <t>R00610</t>
  </si>
  <si>
    <t>R00324</t>
  </si>
  <si>
    <t>R00125</t>
  </si>
  <si>
    <t>R00422</t>
  </si>
  <si>
    <t>R00424</t>
  </si>
  <si>
    <t>R00049</t>
  </si>
  <si>
    <t>R01349</t>
  </si>
  <si>
    <t>R01037</t>
  </si>
  <si>
    <t>R01182</t>
  </si>
  <si>
    <t>R01528</t>
  </si>
  <si>
    <t>R01367</t>
  </si>
  <si>
    <t>R01033</t>
  </si>
  <si>
    <t>R01030</t>
  </si>
  <si>
    <t>R01300</t>
  </si>
  <si>
    <t>R00445</t>
  </si>
  <si>
    <t>R01226</t>
  </si>
  <si>
    <t>R01229</t>
  </si>
  <si>
    <t>R01577</t>
  </si>
  <si>
    <t>R00794</t>
  </si>
  <si>
    <t>R01152</t>
  </si>
  <si>
    <t>R00396</t>
  </si>
  <si>
    <t>R00106</t>
  </si>
  <si>
    <t>R01098</t>
  </si>
  <si>
    <t>R00108</t>
  </si>
  <si>
    <t>R00802</t>
  </si>
  <si>
    <t>R01567</t>
  </si>
  <si>
    <t>R00050</t>
  </si>
  <si>
    <t>R00073</t>
  </si>
  <si>
    <t>R01091</t>
  </si>
  <si>
    <t>R00038</t>
  </si>
  <si>
    <t>R00079</t>
  </si>
  <si>
    <t>R01562</t>
  </si>
  <si>
    <t>R01599</t>
  </si>
  <si>
    <t>R00679</t>
  </si>
  <si>
    <t>R00078</t>
  </si>
  <si>
    <t>R00312</t>
  </si>
  <si>
    <t>R00839</t>
  </si>
  <si>
    <t>R00378</t>
  </si>
  <si>
    <t>R00632</t>
  </si>
  <si>
    <t>R00284</t>
  </si>
  <si>
    <t>R01148</t>
  </si>
  <si>
    <t>R00342</t>
  </si>
  <si>
    <t>R01216</t>
  </si>
  <si>
    <t>R00310</t>
  </si>
  <si>
    <t>R00383</t>
  </si>
  <si>
    <t>R00539</t>
  </si>
  <si>
    <t>R00571</t>
  </si>
  <si>
    <t>R00471</t>
  </si>
  <si>
    <t>R00718</t>
  </si>
  <si>
    <t>R00993</t>
  </si>
  <si>
    <t>R01387</t>
  </si>
  <si>
    <t>R01511</t>
  </si>
  <si>
    <t>R01246</t>
  </si>
  <si>
    <t>R00582</t>
  </si>
  <si>
    <t>R00070</t>
  </si>
  <si>
    <t>R01289</t>
  </si>
  <si>
    <t>R00574</t>
  </si>
  <si>
    <t>R00448</t>
  </si>
  <si>
    <t>R01498</t>
  </si>
  <si>
    <t>R00500</t>
  </si>
  <si>
    <t>R00569</t>
  </si>
  <si>
    <t>R00909</t>
  </si>
  <si>
    <t>R00518</t>
  </si>
  <si>
    <t>R00528</t>
  </si>
  <si>
    <t>R00941</t>
  </si>
  <si>
    <t>R00923</t>
  </si>
  <si>
    <t>R01477</t>
  </si>
  <si>
    <t>R01484</t>
  </si>
  <si>
    <t>R00885</t>
  </si>
  <si>
    <t>R00469</t>
  </si>
  <si>
    <t>R00976</t>
  </si>
  <si>
    <t>R00215</t>
  </si>
  <si>
    <t>R00590</t>
  </si>
  <si>
    <t>R00163</t>
  </si>
  <si>
    <t>R01297</t>
  </si>
  <si>
    <t>R00018</t>
  </si>
  <si>
    <t>R00452</t>
  </si>
  <si>
    <t>R01017</t>
  </si>
  <si>
    <t>R00333</t>
  </si>
  <si>
    <t>R01125</t>
  </si>
  <si>
    <t>R01327</t>
  </si>
  <si>
    <t>R01121</t>
  </si>
  <si>
    <t>R00089</t>
  </si>
  <si>
    <t>R00564</t>
  </si>
  <si>
    <t>R00100</t>
  </si>
  <si>
    <t>R00662</t>
  </si>
  <si>
    <t>R00155</t>
  </si>
  <si>
    <t>R00809</t>
  </si>
  <si>
    <t>R00102</t>
  </si>
  <si>
    <t>R01111</t>
  </si>
  <si>
    <t>R01191</t>
  </si>
  <si>
    <t>R00655</t>
  </si>
  <si>
    <t>R01493</t>
  </si>
  <si>
    <t>R00735</t>
  </si>
  <si>
    <t>R01031</t>
  </si>
  <si>
    <t>R00651</t>
  </si>
  <si>
    <t>R00650</t>
  </si>
  <si>
    <t>R01574</t>
  </si>
  <si>
    <t>R00467</t>
  </si>
  <si>
    <t>R01489</t>
  </si>
  <si>
    <t>R01129</t>
  </si>
  <si>
    <t>R00928</t>
  </si>
  <si>
    <t>R00229</t>
  </si>
  <si>
    <t>R00792</t>
  </si>
  <si>
    <t>R01157</t>
  </si>
  <si>
    <t>R00934</t>
  </si>
  <si>
    <t>R01019</t>
  </si>
  <si>
    <t>R01523</t>
  </si>
  <si>
    <t>R01146</t>
  </si>
  <si>
    <t>R00302</t>
  </si>
  <si>
    <t>R00306</t>
  </si>
  <si>
    <t>R00529</t>
  </si>
  <si>
    <t>R01269</t>
  </si>
  <si>
    <t>R00521</t>
  </si>
  <si>
    <t>R01267</t>
  </si>
  <si>
    <t>R00555</t>
  </si>
  <si>
    <t>R00140</t>
  </si>
  <si>
    <t>R00671</t>
  </si>
  <si>
    <t>R00355</t>
  </si>
  <si>
    <t>R01128</t>
  </si>
  <si>
    <t>R00570</t>
  </si>
  <si>
    <t>R01257</t>
  </si>
  <si>
    <t>R01212</t>
  </si>
  <si>
    <t>R01316</t>
  </si>
  <si>
    <t>R01561</t>
  </si>
  <si>
    <t>R00160</t>
  </si>
  <si>
    <t>R00380</t>
  </si>
  <si>
    <t>R00136</t>
  </si>
  <si>
    <t>R00115</t>
  </si>
  <si>
    <t>R00630</t>
  </si>
  <si>
    <t>R00588</t>
  </si>
  <si>
    <t>R01004</t>
  </si>
  <si>
    <t>R00767</t>
  </si>
  <si>
    <t>R00119</t>
  </si>
  <si>
    <t>R01549</t>
  </si>
  <si>
    <t>R01045</t>
  </si>
  <si>
    <t>R01221</t>
  </si>
  <si>
    <t>R01534</t>
  </si>
  <si>
    <t>R00171</t>
  </si>
  <si>
    <t>R00878</t>
  </si>
  <si>
    <t>R00870</t>
  </si>
  <si>
    <t>R00257</t>
  </si>
  <si>
    <t>R00973</t>
  </si>
  <si>
    <t>R01502</t>
  </si>
  <si>
    <t>R00829</t>
  </si>
  <si>
    <t>R00779</t>
  </si>
  <si>
    <t>R01564</t>
  </si>
  <si>
    <t>R00598</t>
  </si>
  <si>
    <t>R01457</t>
  </si>
  <si>
    <t>R00495</t>
  </si>
  <si>
    <t>R01205</t>
  </si>
  <si>
    <t>R01589</t>
  </si>
  <si>
    <t>R00028</t>
  </si>
  <si>
    <t>R01239</t>
  </si>
  <si>
    <t>R01590</t>
  </si>
  <si>
    <t>R01343</t>
  </si>
  <si>
    <t>R01339</t>
  </si>
  <si>
    <t>R01304</t>
  </si>
  <si>
    <t>R01522</t>
  </si>
  <si>
    <t>R01538</t>
  </si>
  <si>
    <t>R00034</t>
  </si>
  <si>
    <t>R00081</t>
  </si>
  <si>
    <t>R01532</t>
  </si>
  <si>
    <t>R01552</t>
  </si>
  <si>
    <t>R01173</t>
  </si>
  <si>
    <t>R01555</t>
  </si>
  <si>
    <t>R00088</t>
  </si>
  <si>
    <t>R01318</t>
  </si>
  <si>
    <t>R01467</t>
  </si>
  <si>
    <t>R01295</t>
  </si>
  <si>
    <t>R01520</t>
  </si>
  <si>
    <t>R01247</t>
  </si>
  <si>
    <t>R01424</t>
  </si>
  <si>
    <t>R01461</t>
  </si>
  <si>
    <t>R01176</t>
  </si>
  <si>
    <t>R00020</t>
  </si>
  <si>
    <t>R01261</t>
  </si>
  <si>
    <t>R01435</t>
  </si>
  <si>
    <t>R01512</t>
  </si>
  <si>
    <t>R01438</t>
  </si>
  <si>
    <t>R00029</t>
  </si>
  <si>
    <t>R01206</t>
  </si>
  <si>
    <t>R00069</t>
  </si>
  <si>
    <t>R01495</t>
  </si>
  <si>
    <t>R00944</t>
  </si>
  <si>
    <t>R00723</t>
  </si>
  <si>
    <t>R01066</t>
  </si>
  <si>
    <t>R00492</t>
  </si>
  <si>
    <t>R00498</t>
  </si>
  <si>
    <t>R00104</t>
  </si>
  <si>
    <t>R00181</t>
  </si>
  <si>
    <t>R00740</t>
  </si>
  <si>
    <t>R00234</t>
  </si>
  <si>
    <t>R00882</t>
  </si>
  <si>
    <t>R01101</t>
  </si>
  <si>
    <t>R00893</t>
  </si>
  <si>
    <t>R00233</t>
  </si>
  <si>
    <t>R00995</t>
  </si>
  <si>
    <t>R01087</t>
  </si>
  <si>
    <t>R00676</t>
  </si>
  <si>
    <t>R00367</t>
  </si>
  <si>
    <t>R00921</t>
  </si>
  <si>
    <t>R00698</t>
  </si>
  <si>
    <t>R00696</t>
  </si>
  <si>
    <t>R00144</t>
  </si>
  <si>
    <t>R00966</t>
  </si>
  <si>
    <t>R00759</t>
  </si>
  <si>
    <t>R00946</t>
  </si>
  <si>
    <t>R00132</t>
  </si>
  <si>
    <t>R00983</t>
  </si>
  <si>
    <t>R00808</t>
  </si>
  <si>
    <t>R00426</t>
  </si>
  <si>
    <t>R00429</t>
  </si>
  <si>
    <t>R00439</t>
  </si>
  <si>
    <t>R00609</t>
  </si>
  <si>
    <t>R00798</t>
  </si>
  <si>
    <t>R00996</t>
  </si>
  <si>
    <t>R00418</t>
  </si>
  <si>
    <t>R00212</t>
  </si>
  <si>
    <t>R00373</t>
  </si>
  <si>
    <t>R00860</t>
  </si>
  <si>
    <t>R00320</t>
  </si>
  <si>
    <t>R00095</t>
  </si>
  <si>
    <t>R00687</t>
  </si>
  <si>
    <t>R00190</t>
  </si>
  <si>
    <t>R00991</t>
  </si>
  <si>
    <t>R01415</t>
  </si>
  <si>
    <t>R00961</t>
  </si>
  <si>
    <t>R00954</t>
  </si>
  <si>
    <t>R00659</t>
  </si>
  <si>
    <t>R01418</t>
  </si>
  <si>
    <t>R00040</t>
  </si>
  <si>
    <t>R00982</t>
  </si>
  <si>
    <t>R00673</t>
  </si>
  <si>
    <t>R01420</t>
  </si>
  <si>
    <t>R00368</t>
  </si>
  <si>
    <t>R01260</t>
  </si>
  <si>
    <t>R01351</t>
  </si>
  <si>
    <t>R00708</t>
  </si>
  <si>
    <t>R00059</t>
  </si>
  <si>
    <t>R01336</t>
  </si>
  <si>
    <t>R00797</t>
  </si>
  <si>
    <t>R00341</t>
  </si>
  <si>
    <t>R01344</t>
  </si>
  <si>
    <t>R00785</t>
  </si>
  <si>
    <t>R00784</t>
  </si>
  <si>
    <t>R00849</t>
  </si>
  <si>
    <t>R00783</t>
  </si>
  <si>
    <t>R01580</t>
  </si>
  <si>
    <t>R00866</t>
  </si>
  <si>
    <t>R00777</t>
  </si>
  <si>
    <t>R00868</t>
  </si>
  <si>
    <t>R00167</t>
  </si>
  <si>
    <t>R01363</t>
  </si>
  <si>
    <t>R00873</t>
  </si>
  <si>
    <t>R00734</t>
  </si>
  <si>
    <t>R00714</t>
  </si>
  <si>
    <t>R00154</t>
  </si>
  <si>
    <t>R00916</t>
  </si>
  <si>
    <t>R00273</t>
  </si>
  <si>
    <t>R01271</t>
  </si>
  <si>
    <t>R00620</t>
  </si>
  <si>
    <t>R00639</t>
  </si>
  <si>
    <t>R01179</t>
  </si>
  <si>
    <t>R01178</t>
  </si>
  <si>
    <t>R00224</t>
  </si>
  <si>
    <t>R00226</t>
  </si>
  <si>
    <t>R01104</t>
  </si>
  <si>
    <t>R00550</t>
  </si>
  <si>
    <t>R00012</t>
  </si>
  <si>
    <t>R00404</t>
  </si>
  <si>
    <t>R01050</t>
  </si>
  <si>
    <t>R01181</t>
  </si>
  <si>
    <t>R00245</t>
  </si>
  <si>
    <t>R00481</t>
  </si>
  <si>
    <t>R00227</t>
  </si>
  <si>
    <t>R01209</t>
  </si>
  <si>
    <t>R00243</t>
  </si>
  <si>
    <t>R00533</t>
  </si>
  <si>
    <t>R01084</t>
  </si>
  <si>
    <t>R01116</t>
  </si>
  <si>
    <t>R00520</t>
  </si>
  <si>
    <t>R00299</t>
  </si>
  <si>
    <t>R00087</t>
  </si>
  <si>
    <t>R00419</t>
  </si>
  <si>
    <t>R01491</t>
  </si>
  <si>
    <t>R00107</t>
  </si>
  <si>
    <t>R00512</t>
  </si>
  <si>
    <t>R01001</t>
  </si>
  <si>
    <t>R00290</t>
  </si>
  <si>
    <t>R01521</t>
  </si>
  <si>
    <t>R01143</t>
  </si>
  <si>
    <t>R00606</t>
  </si>
  <si>
    <t>R00266</t>
  </si>
  <si>
    <t>R00220</t>
  </si>
  <si>
    <t>R01141</t>
  </si>
  <si>
    <t>R00301</t>
  </si>
  <si>
    <t>R00572</t>
  </si>
  <si>
    <t>R01530</t>
  </si>
  <si>
    <t>R00214</t>
  </si>
  <si>
    <t>R00388</t>
  </si>
  <si>
    <t>R00769</t>
  </si>
  <si>
    <t>R00501</t>
  </si>
  <si>
    <t>R00239</t>
  </si>
  <si>
    <t>R00617</t>
  </si>
  <si>
    <t>R00780</t>
  </si>
  <si>
    <t>R00465</t>
  </si>
  <si>
    <t>R00451</t>
  </si>
  <si>
    <t>R00795</t>
  </si>
  <si>
    <t>R01333</t>
  </si>
  <si>
    <t>R00806</t>
  </si>
  <si>
    <t>R01331</t>
  </si>
  <si>
    <t>R00423</t>
  </si>
  <si>
    <t>R00483</t>
  </si>
  <si>
    <t>R00052</t>
  </si>
  <si>
    <t>R00232</t>
  </si>
  <si>
    <t>R00738</t>
  </si>
  <si>
    <t>R00172</t>
  </si>
  <si>
    <t>R00196</t>
  </si>
  <si>
    <t>R00204</t>
  </si>
  <si>
    <t>R00648</t>
  </si>
  <si>
    <t>R00375</t>
  </si>
  <si>
    <t>R00611</t>
  </si>
  <si>
    <t>R00604</t>
  </si>
  <si>
    <t>R00666</t>
  </si>
  <si>
    <t>R00193</t>
  </si>
  <si>
    <t>R00192</t>
  </si>
  <si>
    <t>R00032</t>
  </si>
  <si>
    <t>R00568</t>
  </si>
  <si>
    <t>R00235</t>
  </si>
  <si>
    <t>R00567</t>
  </si>
  <si>
    <t>R00402</t>
  </si>
  <si>
    <t>R00545</t>
  </si>
  <si>
    <t>R01400</t>
  </si>
  <si>
    <t>R00027</t>
  </si>
  <si>
    <t>R01398</t>
  </si>
  <si>
    <t>R01395</t>
  </si>
  <si>
    <t>R00540</t>
  </si>
  <si>
    <t>R00717</t>
  </si>
  <si>
    <t>R01385</t>
  </si>
  <si>
    <t>R00358</t>
  </si>
  <si>
    <t>R01161</t>
  </si>
  <si>
    <t>R01488</t>
  </si>
  <si>
    <t>R01472</t>
  </si>
  <si>
    <t>R00339</t>
  </si>
  <si>
    <t>R00416</t>
  </si>
  <si>
    <t>R01224</t>
  </si>
  <si>
    <t>R00978</t>
  </si>
  <si>
    <t>R00126</t>
  </si>
  <si>
    <t>R00975</t>
  </si>
  <si>
    <t>R00072</t>
  </si>
  <si>
    <t>R01127</t>
  </si>
  <si>
    <t>R00872</t>
  </si>
  <si>
    <t>R00116</t>
  </si>
  <si>
    <t>R01180</t>
  </si>
  <si>
    <t>R00061</t>
  </si>
  <si>
    <t>R00877</t>
  </si>
  <si>
    <t>R00881</t>
  </si>
  <si>
    <t>R00068</t>
  </si>
  <si>
    <t>R00956</t>
  </si>
  <si>
    <t>R01072</t>
  </si>
  <si>
    <t>R00303</t>
  </si>
  <si>
    <t>R01232</t>
  </si>
  <si>
    <t>R00948</t>
  </si>
  <si>
    <t>R00933</t>
  </si>
  <si>
    <t>R01123</t>
  </si>
  <si>
    <t>R00931</t>
  </si>
  <si>
    <t>R01051</t>
  </si>
  <si>
    <t>R01024</t>
  </si>
  <si>
    <t>R00085</t>
  </si>
  <si>
    <t>R01140</t>
  </si>
  <si>
    <t>R01103</t>
  </si>
  <si>
    <t>R01187</t>
  </si>
  <si>
    <t>R00289</t>
  </si>
  <si>
    <t>R01166</t>
  </si>
  <si>
    <t>R00336</t>
  </si>
  <si>
    <t>R00832</t>
  </si>
  <si>
    <t>R01317</t>
  </si>
  <si>
    <t>R00109</t>
  </si>
  <si>
    <t>R01085</t>
  </si>
  <si>
    <t>R01312</t>
  </si>
  <si>
    <t>R00992</t>
  </si>
  <si>
    <t>R00111</t>
  </si>
  <si>
    <t>R01244</t>
  </si>
  <si>
    <t>R00848</t>
  </si>
  <si>
    <t>R00298</t>
  </si>
  <si>
    <t>R01453</t>
  </si>
  <si>
    <t>R00045</t>
  </si>
  <si>
    <t>R01110</t>
  </si>
  <si>
    <t>R01481</t>
  </si>
  <si>
    <t>R00270</t>
  </si>
  <si>
    <t>R01250</t>
  </si>
  <si>
    <t>R01442</t>
  </si>
  <si>
    <t>R00392</t>
  </si>
  <si>
    <t>R01196</t>
  </si>
  <si>
    <t>R01501</t>
  </si>
  <si>
    <t>R00987</t>
  </si>
  <si>
    <t>R00035</t>
  </si>
  <si>
    <t>R01265</t>
  </si>
  <si>
    <t>R01107</t>
  </si>
  <si>
    <t>R00191</t>
  </si>
  <si>
    <t>R01439</t>
  </si>
  <si>
    <t>R00619</t>
  </si>
  <si>
    <t>R01497</t>
  </si>
  <si>
    <t>R00965</t>
  </si>
  <si>
    <t>R01496</t>
  </si>
  <si>
    <t>R00628</t>
  </si>
  <si>
    <t>R01204</t>
  </si>
  <si>
    <t>R00638</t>
  </si>
  <si>
    <t>R01256</t>
  </si>
  <si>
    <t>R00665</t>
  </si>
  <si>
    <t>R01078</t>
  </si>
  <si>
    <t>R00968</t>
  </si>
  <si>
    <t>R00337</t>
  </si>
  <si>
    <t>R00385</t>
  </si>
  <si>
    <t>R01083</t>
  </si>
  <si>
    <t>R00927</t>
  </si>
  <si>
    <t>R00904</t>
  </si>
  <si>
    <t>R01391</t>
  </si>
  <si>
    <t>R00775</t>
  </si>
  <si>
    <t>R01172</t>
  </si>
  <si>
    <t>R01063</t>
  </si>
  <si>
    <t>R00559</t>
  </si>
  <si>
    <t>R00850</t>
  </si>
  <si>
    <t>R01310</t>
  </si>
  <si>
    <t>R00847</t>
  </si>
  <si>
    <t>R00788</t>
  </si>
  <si>
    <t>R00401</t>
  </si>
  <si>
    <t>R00412</t>
  </si>
  <si>
    <t>R01313</t>
  </si>
  <si>
    <t>R00842</t>
  </si>
  <si>
    <t>R00838</t>
  </si>
  <si>
    <t>R00837</t>
  </si>
  <si>
    <t>R01335</t>
  </si>
  <si>
    <t>R00801</t>
  </si>
  <si>
    <t>R01535</t>
  </si>
  <si>
    <t>R00831</t>
  </si>
  <si>
    <t>R01329</t>
  </si>
  <si>
    <t>R00827</t>
  </si>
  <si>
    <t>R00796</t>
  </si>
  <si>
    <t>R00548</t>
  </si>
  <si>
    <t>R00295</t>
  </si>
  <si>
    <t>R01378</t>
  </si>
  <si>
    <t>R01278</t>
  </si>
  <si>
    <t>R01025</t>
  </si>
  <si>
    <t>R00912</t>
  </si>
  <si>
    <t>R00482</t>
  </si>
  <si>
    <t>R01012</t>
  </si>
  <si>
    <t>R00721</t>
  </si>
  <si>
    <t>R01285</t>
  </si>
  <si>
    <t>R00594</t>
  </si>
  <si>
    <t>R01544</t>
  </si>
  <si>
    <t>R00477</t>
  </si>
  <si>
    <t>R01299</t>
  </si>
  <si>
    <t>R00615</t>
  </si>
  <si>
    <t>R00318</t>
  </si>
  <si>
    <t>R01515</t>
  </si>
  <si>
    <t>R01227</t>
  </si>
  <si>
    <t>R00250</t>
  </si>
  <si>
    <t>R00180</t>
  </si>
  <si>
    <t>R01463</t>
  </si>
  <si>
    <t>R00750</t>
  </si>
  <si>
    <t>R01130</t>
  </si>
  <si>
    <t>R00444</t>
  </si>
  <si>
    <t>R00159</t>
  </si>
  <si>
    <t>R00405</t>
  </si>
  <si>
    <t>R01591</t>
  </si>
  <si>
    <t>R01073</t>
  </si>
  <si>
    <t>R00816</t>
  </si>
  <si>
    <t>R01081</t>
  </si>
  <si>
    <t>R01153</t>
  </si>
  <si>
    <t>R00261</t>
  </si>
  <si>
    <t>R00421</t>
  </si>
  <si>
    <t>R00291</t>
  </si>
  <si>
    <t>R01541</t>
  </si>
  <si>
    <t>R00446</t>
  </si>
  <si>
    <t>R00410</t>
  </si>
  <si>
    <t>R00462</t>
  </si>
  <si>
    <t>R00409</t>
  </si>
  <si>
    <t>R00248</t>
  </si>
  <si>
    <t>R00296</t>
  </si>
  <si>
    <t>R01183</t>
  </si>
  <si>
    <t>R00485</t>
  </si>
  <si>
    <t>R01120</t>
  </si>
  <si>
    <t>R00240</t>
  </si>
  <si>
    <t>R00263</t>
  </si>
  <si>
    <t>R00496</t>
  </si>
  <si>
    <t>R00297</t>
  </si>
  <si>
    <t>R01192</t>
  </si>
  <si>
    <t>R00406</t>
  </si>
  <si>
    <t>R00522</t>
  </si>
  <si>
    <t>R01482</t>
  </si>
  <si>
    <t>R01059</t>
  </si>
  <si>
    <t>R01243</t>
  </si>
  <si>
    <t>R00223</t>
  </si>
  <si>
    <t>R00701</t>
  </si>
  <si>
    <t>R00152</t>
  </si>
  <si>
    <t>R00906</t>
  </si>
  <si>
    <t>R00314</t>
  </si>
  <si>
    <t>R01381</t>
  </si>
  <si>
    <t>R00900</t>
  </si>
  <si>
    <t>R00726</t>
  </si>
  <si>
    <t>R00729</t>
  </si>
  <si>
    <t>R01374</t>
  </si>
  <si>
    <t>R00739</t>
  </si>
  <si>
    <t>R01366</t>
  </si>
  <si>
    <t>R00277</t>
  </si>
  <si>
    <t>R01053</t>
  </si>
  <si>
    <t>R00754</t>
  </si>
  <si>
    <t>R00349</t>
  </si>
  <si>
    <t>R01359</t>
  </si>
  <si>
    <t>R00766</t>
  </si>
  <si>
    <t>R00867</t>
  </si>
  <si>
    <t>R01355</t>
  </si>
  <si>
    <t>R00772</t>
  </si>
  <si>
    <t>R00417</t>
  </si>
  <si>
    <t>R01301</t>
  </si>
  <si>
    <t>R00859</t>
  </si>
  <si>
    <t>R00782</t>
  </si>
  <si>
    <t>R00791</t>
  </si>
  <si>
    <t>R01575</t>
  </si>
  <si>
    <t>R01361</t>
  </si>
  <si>
    <t>R00149</t>
  </si>
  <si>
    <t>R01160</t>
  </si>
  <si>
    <t>R01397</t>
  </si>
  <si>
    <t>R01220</t>
  </si>
  <si>
    <t>R01039</t>
  </si>
  <si>
    <t>R00586</t>
  </si>
  <si>
    <t>R00208</t>
  </si>
  <si>
    <t>R01013</t>
  </si>
  <si>
    <t>R01448</t>
  </si>
  <si>
    <t>R00071</t>
  </si>
  <si>
    <t>R00994</t>
  </si>
  <si>
    <t>R01437</t>
  </si>
  <si>
    <t>R00200</t>
  </si>
  <si>
    <t>R00635</t>
  </si>
  <si>
    <t>R00697</t>
  </si>
  <si>
    <t>R00989</t>
  </si>
  <si>
    <t>R00037</t>
  </si>
  <si>
    <t>R01559</t>
  </si>
  <si>
    <t>R01249</t>
  </si>
  <si>
    <t>R00308</t>
  </si>
  <si>
    <t>R00667</t>
  </si>
  <si>
    <t>R00043</t>
  </si>
  <si>
    <t>R01413</t>
  </si>
  <si>
    <t>R00964</t>
  </si>
  <si>
    <t>R00683</t>
  </si>
  <si>
    <t>R00950</t>
  </si>
  <si>
    <t>R00275</t>
  </si>
  <si>
    <t>R00313</t>
  </si>
  <si>
    <t>R00283</t>
  </si>
  <si>
    <t>R00311</t>
  </si>
  <si>
    <t>R00393</t>
  </si>
  <si>
    <t>R00343</t>
  </si>
  <si>
    <t>R00271</t>
  </si>
  <si>
    <t>R00356</t>
  </si>
  <si>
    <t>R00304</t>
  </si>
  <si>
    <t>R00374</t>
  </si>
  <si>
    <t>R01554</t>
  </si>
  <si>
    <t>R00364</t>
  </si>
  <si>
    <t>R00722</t>
  </si>
  <si>
    <t>R00427</t>
  </si>
  <si>
    <t>R00053</t>
  </si>
  <si>
    <t>R01354</t>
  </si>
  <si>
    <t>R01342</t>
  </si>
  <si>
    <t>R00813</t>
  </si>
  <si>
    <t>R01326</t>
  </si>
  <si>
    <t>R00826</t>
  </si>
  <si>
    <t>R00830</t>
  </si>
  <si>
    <t>R00836</t>
  </si>
  <si>
    <t>R00854</t>
  </si>
  <si>
    <t>R01303</t>
  </si>
  <si>
    <t>R00890</t>
  </si>
  <si>
    <t>R00903</t>
  </si>
  <si>
    <t>R00925</t>
  </si>
  <si>
    <t>R00142</t>
  </si>
  <si>
    <t>R00969</t>
  </si>
  <si>
    <t>R01238</t>
  </si>
  <si>
    <t>R01228</t>
  </si>
  <si>
    <t>R01027</t>
  </si>
  <si>
    <t>R01043</t>
  </si>
  <si>
    <t>R00114</t>
  </si>
  <si>
    <t>R01094</t>
  </si>
  <si>
    <t>R01109</t>
  </si>
  <si>
    <t>R01124</t>
  </si>
  <si>
    <t>R01134</t>
  </si>
  <si>
    <t>R01137</t>
  </si>
  <si>
    <t>R01147</t>
  </si>
  <si>
    <t>R01150</t>
  </si>
  <si>
    <t>R01365</t>
  </si>
  <si>
    <t>R00262</t>
  </si>
  <si>
    <t>R00745</t>
  </si>
  <si>
    <t>R01383</t>
  </si>
  <si>
    <t>R00256</t>
  </si>
  <si>
    <t>R00252</t>
  </si>
  <si>
    <t>R00468</t>
  </si>
  <si>
    <t>R00480</t>
  </si>
  <si>
    <t>R01504</t>
  </si>
  <si>
    <t>R01503</t>
  </si>
  <si>
    <t>R01494</t>
  </si>
  <si>
    <t>R00542</t>
  </si>
  <si>
    <t>R00547</t>
  </si>
  <si>
    <t>R01475</t>
  </si>
  <si>
    <t>R01469</t>
  </si>
  <si>
    <t>R00593</t>
  </si>
  <si>
    <t>R00602</t>
  </si>
  <si>
    <t>R01451</t>
  </si>
  <si>
    <t>R01443</t>
  </si>
  <si>
    <t>R00203</t>
  </si>
  <si>
    <t>R01430</t>
  </si>
  <si>
    <t>R01426</t>
  </si>
  <si>
    <t>R00654</t>
  </si>
  <si>
    <t>R00664</t>
  </si>
  <si>
    <t>R01421</t>
  </si>
  <si>
    <t>R01407</t>
  </si>
  <si>
    <t>R01405</t>
  </si>
  <si>
    <t>R00693</t>
  </si>
  <si>
    <t>R00699</t>
  </si>
  <si>
    <t>R01389</t>
  </si>
  <si>
    <t>R00709</t>
  </si>
  <si>
    <t>R01372</t>
  </si>
  <si>
    <t>R00800</t>
  </si>
  <si>
    <t>The total amount of money earned from selling goods or services</t>
  </si>
  <si>
    <t>Short for Operational Expenses</t>
  </si>
  <si>
    <t>The average number of days it takes for the company to collect cash from customers after a sale is made on credit. (Lower is better)</t>
  </si>
  <si>
    <t>The average number of days items sit in stock before being sold. (Lower indicates faster turnover and better efficiency)</t>
  </si>
  <si>
    <t>The total amount of unpaid debt or outstanding loans</t>
  </si>
  <si>
    <t>Capital or personal funds put directly into the business by its owners or investors</t>
  </si>
  <si>
    <t>A predictive indicator or risk score showing how likely the company is to run out of cash or struggle to pay bills in the upcoming month</t>
  </si>
  <si>
    <t>Average of accounts_receivable_days</t>
  </si>
  <si>
    <t>Average of inventory_days</t>
  </si>
  <si>
    <t>Count of record_id</t>
  </si>
  <si>
    <t>Financial &amp; Risk Performance Dashboard</t>
  </si>
  <si>
    <t>Total/Latest Revenue</t>
  </si>
  <si>
    <t>OPEX</t>
  </si>
  <si>
    <t>Receivable Days</t>
  </si>
  <si>
    <t>Next Month Cashflow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</si>
</sst>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6" x14ac:knownFonts="1">
    <font>
      <sz val="11"/>
      <color theme="1"/>
      <name val="Aptos Narrow"/>
      <family val="2"/>
      <scheme val="minor"/>
    </font>
    <font>
      <b/>
      <sz val="14"/>
      <color theme="1"/>
      <name val="Aptos Narrow"/>
      <family val="2"/>
      <scheme val="minor"/>
    </font>
    <font>
      <b/>
      <sz val="18"/>
      <color theme="1" tint="0.249977111117893"/>
      <name val="Aptos Narrow"/>
      <family val="2"/>
      <scheme val="minor"/>
    </font>
    <font>
      <b/>
      <sz val="22"/>
      <color theme="1"/>
      <name val="Aptos Narrow"/>
      <family val="2"/>
      <scheme val="minor"/>
    </font>
    <font>
      <b/>
      <sz val="24"/>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2" borderId="0" xfId="0" applyFill="1" applyAlignment="1">
      <alignment horizontal="center"/>
    </xf>
    <xf numFmtId="0" fontId="1" fillId="2" borderId="0" xfId="0" applyFont="1" applyFill="1" applyAlignment="1">
      <alignment horizontal="center"/>
    </xf>
    <xf numFmtId="165" fontId="3" fillId="3" borderId="1" xfId="0" applyNumberFormat="1" applyFont="1" applyFill="1" applyBorder="1" applyAlignment="1">
      <alignment horizontal="center"/>
    </xf>
    <xf numFmtId="0" fontId="1" fillId="3" borderId="2" xfId="0" applyFont="1" applyFill="1" applyBorder="1" applyAlignment="1">
      <alignment horizontal="center"/>
    </xf>
    <xf numFmtId="164" fontId="4" fillId="3" borderId="1" xfId="0" applyNumberFormat="1" applyFont="1" applyFill="1" applyBorder="1" applyAlignment="1">
      <alignment horizontal="center"/>
    </xf>
    <xf numFmtId="1" fontId="3" fillId="3" borderId="1" xfId="0" applyNumberFormat="1" applyFont="1" applyFill="1" applyBorder="1" applyAlignment="1">
      <alignment horizontal="center"/>
    </xf>
    <xf numFmtId="0" fontId="5" fillId="0" borderId="0" xfId="0" applyFont="1" applyAlignment="1">
      <alignment horizontal="center"/>
    </xf>
    <xf numFmtId="0" fontId="5" fillId="0" borderId="0" xfId="0" applyFont="1" applyAlignment="1">
      <alignment horizontal="left"/>
    </xf>
  </cellXfs>
  <cellStyles count="1">
    <cellStyle name="Normal" xfId="0" builtinId="0"/>
  </cellStyles>
  <dxfs count="5">
    <dxf>
      <numFmt numFmtId="0" formatCode="General"/>
    </dxf>
    <dxf>
      <numFmt numFmtId="0" formatCode="General"/>
    </dxf>
    <dxf>
      <numFmt numFmtId="0" formatCode="General"/>
    </dxf>
    <dxf>
      <fill>
        <patternFill>
          <bgColor rgb="FFFF6D4B"/>
        </patternFill>
      </fill>
    </dxf>
    <dxf>
      <font>
        <color theme="9" tint="0.39994506668294322"/>
      </font>
    </dxf>
  </dxfs>
  <tableStyles count="0" defaultTableStyle="TableStyleMedium2" defaultPivotStyle="PivotStyleLight16"/>
  <colors>
    <mruColors>
      <color rgb="FFFF6D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[Monthly.xlsx]Pivot_Calculations!Summary</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Pivot_Calculations!$B$1</c:f>
              <c:strCache>
                <c:ptCount val="1"/>
                <c:pt idx="0">
                  <c:v>Sum of revenue_usd</c:v>
                </c:pt>
              </c:strCache>
            </c:strRef>
          </c:tx>
          <c:spPr>
            <a:solidFill>
              <a:schemeClr val="accent6">
                <a:lumMod val="40000"/>
                <a:lumOff val="60000"/>
              </a:schemeClr>
            </a:solidFill>
            <a:ln>
              <a:noFill/>
            </a:ln>
            <a:effectLst/>
          </c:spPr>
          <c:invertIfNegative val="0"/>
          <c:cat>
            <c:multiLvlStrRef>
              <c:f>Pivot_Calculations!$A$2:$A$24</c:f>
              <c:multiLvlStrCache>
                <c:ptCount val="2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lvl>
                <c:lvl>
                  <c:pt idx="0">
                    <c:v>2024</c:v>
                  </c:pt>
                  <c:pt idx="12">
                    <c:v>2025</c:v>
                  </c:pt>
                </c:lvl>
              </c:multiLvlStrCache>
            </c:multiLvlStrRef>
          </c:cat>
          <c:val>
            <c:numRef>
              <c:f>Pivot_Calculations!$B$2:$B$24</c:f>
              <c:numCache>
                <c:formatCode>General</c:formatCode>
                <c:ptCount val="20"/>
                <c:pt idx="0">
                  <c:v>4662576</c:v>
                </c:pt>
                <c:pt idx="1">
                  <c:v>3723678.9000000004</c:v>
                </c:pt>
                <c:pt idx="2">
                  <c:v>4435478.1999999993</c:v>
                </c:pt>
                <c:pt idx="3">
                  <c:v>4553342.87</c:v>
                </c:pt>
                <c:pt idx="4">
                  <c:v>3627750.8500000006</c:v>
                </c:pt>
                <c:pt idx="5">
                  <c:v>4135168.1299999994</c:v>
                </c:pt>
                <c:pt idx="6">
                  <c:v>4751947.53</c:v>
                </c:pt>
                <c:pt idx="7">
                  <c:v>3970063.4499999997</c:v>
                </c:pt>
                <c:pt idx="8">
                  <c:v>5563633.3499999987</c:v>
                </c:pt>
                <c:pt idx="9">
                  <c:v>4105696.22</c:v>
                </c:pt>
                <c:pt idx="10">
                  <c:v>4940354.7799999993</c:v>
                </c:pt>
                <c:pt idx="11">
                  <c:v>4019554.4400000009</c:v>
                </c:pt>
                <c:pt idx="12">
                  <c:v>4409579.0499999989</c:v>
                </c:pt>
                <c:pt idx="13">
                  <c:v>4119647.68</c:v>
                </c:pt>
                <c:pt idx="14">
                  <c:v>4455927.9299999978</c:v>
                </c:pt>
                <c:pt idx="15">
                  <c:v>4372794.7500000019</c:v>
                </c:pt>
                <c:pt idx="16">
                  <c:v>4362532.330000001</c:v>
                </c:pt>
                <c:pt idx="17">
                  <c:v>4612637.8599999994</c:v>
                </c:pt>
                <c:pt idx="18">
                  <c:v>4341006.4299999978</c:v>
                </c:pt>
                <c:pt idx="19">
                  <c:v>4427793.0000000009</c:v>
                </c:pt>
              </c:numCache>
            </c:numRef>
          </c:val>
          <c:extLst>
            <c:ext xmlns:c16="http://schemas.microsoft.com/office/drawing/2014/chart" uri="{C3380CC4-5D6E-409C-BE32-E72D297353CC}">
              <c16:uniqueId val="{00000000-105A-438C-8230-F8924FA770DC}"/>
            </c:ext>
          </c:extLst>
        </c:ser>
        <c:ser>
          <c:idx val="1"/>
          <c:order val="1"/>
          <c:tx>
            <c:strRef>
              <c:f>Pivot_Calculations!$C$1</c:f>
              <c:strCache>
                <c:ptCount val="1"/>
                <c:pt idx="0">
                  <c:v>Sum of opex_usd</c:v>
                </c:pt>
              </c:strCache>
            </c:strRef>
          </c:tx>
          <c:spPr>
            <a:solidFill>
              <a:schemeClr val="bg2">
                <a:lumMod val="90000"/>
              </a:schemeClr>
            </a:solidFill>
            <a:ln>
              <a:solidFill>
                <a:schemeClr val="bg2">
                  <a:lumMod val="75000"/>
                </a:schemeClr>
              </a:solidFill>
            </a:ln>
            <a:effectLst/>
          </c:spPr>
          <c:invertIfNegative val="0"/>
          <c:cat>
            <c:multiLvlStrRef>
              <c:f>Pivot_Calculations!$A$2:$A$24</c:f>
              <c:multiLvlStrCache>
                <c:ptCount val="2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lvl>
                <c:lvl>
                  <c:pt idx="0">
                    <c:v>2024</c:v>
                  </c:pt>
                  <c:pt idx="12">
                    <c:v>2025</c:v>
                  </c:pt>
                </c:lvl>
              </c:multiLvlStrCache>
            </c:multiLvlStrRef>
          </c:cat>
          <c:val>
            <c:numRef>
              <c:f>Pivot_Calculations!$C$2:$C$24</c:f>
              <c:numCache>
                <c:formatCode>General</c:formatCode>
                <c:ptCount val="20"/>
                <c:pt idx="0">
                  <c:v>3835824.71</c:v>
                </c:pt>
                <c:pt idx="1">
                  <c:v>2968977.9099999992</c:v>
                </c:pt>
                <c:pt idx="2">
                  <c:v>3704036.4399999995</c:v>
                </c:pt>
                <c:pt idx="3">
                  <c:v>3680392.9099999997</c:v>
                </c:pt>
                <c:pt idx="4">
                  <c:v>3065674.5300000007</c:v>
                </c:pt>
                <c:pt idx="5">
                  <c:v>3387196.1399999997</c:v>
                </c:pt>
                <c:pt idx="6">
                  <c:v>3815247.9799999991</c:v>
                </c:pt>
                <c:pt idx="7">
                  <c:v>3238611.1800000011</c:v>
                </c:pt>
                <c:pt idx="8">
                  <c:v>4658201.74</c:v>
                </c:pt>
                <c:pt idx="9">
                  <c:v>3402006.2</c:v>
                </c:pt>
                <c:pt idx="10">
                  <c:v>4194847.5999999987</c:v>
                </c:pt>
                <c:pt idx="11">
                  <c:v>3267804.1199999992</c:v>
                </c:pt>
                <c:pt idx="12">
                  <c:v>3577106.0800000005</c:v>
                </c:pt>
                <c:pt idx="13">
                  <c:v>3333703.8899999997</c:v>
                </c:pt>
                <c:pt idx="14">
                  <c:v>3629618.4100000015</c:v>
                </c:pt>
                <c:pt idx="15">
                  <c:v>3629727.9800000004</c:v>
                </c:pt>
                <c:pt idx="16">
                  <c:v>3699411.2800000003</c:v>
                </c:pt>
                <c:pt idx="17">
                  <c:v>3839784.5499999993</c:v>
                </c:pt>
                <c:pt idx="18">
                  <c:v>3742424.0799999991</c:v>
                </c:pt>
                <c:pt idx="19">
                  <c:v>3640021.2699999991</c:v>
                </c:pt>
              </c:numCache>
            </c:numRef>
          </c:val>
          <c:extLst>
            <c:ext xmlns:c16="http://schemas.microsoft.com/office/drawing/2014/chart" uri="{C3380CC4-5D6E-409C-BE32-E72D297353CC}">
              <c16:uniqueId val="{00000001-105A-438C-8230-F8924FA770DC}"/>
            </c:ext>
          </c:extLst>
        </c:ser>
        <c:dLbls>
          <c:showLegendKey val="0"/>
          <c:showVal val="0"/>
          <c:showCatName val="0"/>
          <c:showSerName val="0"/>
          <c:showPercent val="0"/>
          <c:showBubbleSize val="0"/>
        </c:dLbls>
        <c:gapWidth val="219"/>
        <c:overlap val="-27"/>
        <c:axId val="122701136"/>
        <c:axId val="122700656"/>
      </c:barChart>
      <c:catAx>
        <c:axId val="12270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0656"/>
        <c:crosses val="autoZero"/>
        <c:auto val="1"/>
        <c:lblAlgn val="ctr"/>
        <c:lblOffset val="100"/>
        <c:noMultiLvlLbl val="0"/>
      </c:catAx>
      <c:valAx>
        <c:axId val="1227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5</xdr:row>
      <xdr:rowOff>66675</xdr:rowOff>
    </xdr:from>
    <xdr:to>
      <xdr:col>4</xdr:col>
      <xdr:colOff>571500</xdr:colOff>
      <xdr:row>17</xdr:row>
      <xdr:rowOff>9525</xdr:rowOff>
    </xdr:to>
    <xdr:graphicFrame macro="">
      <xdr:nvGraphicFramePr>
        <xdr:cNvPr id="2" name="Chart 1">
          <a:extLst>
            <a:ext uri="{FF2B5EF4-FFF2-40B4-BE49-F238E27FC236}">
              <a16:creationId xmlns:a16="http://schemas.microsoft.com/office/drawing/2014/main" id="{35E9E336-D661-42A4-92CE-4A3ACD398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57150</xdr:colOff>
      <xdr:row>5</xdr:row>
      <xdr:rowOff>66675</xdr:rowOff>
    </xdr:from>
    <xdr:to>
      <xdr:col>6</xdr:col>
      <xdr:colOff>0</xdr:colOff>
      <xdr:row>10</xdr:row>
      <xdr:rowOff>66675</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C9BDEEF2-645C-2E71-84A0-E3CD74BD240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505700" y="1504950"/>
              <a:ext cx="2486025"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66674</xdr:colOff>
      <xdr:row>10</xdr:row>
      <xdr:rowOff>47625</xdr:rowOff>
    </xdr:from>
    <xdr:to>
      <xdr:col>5</xdr:col>
      <xdr:colOff>2533649</xdr:colOff>
      <xdr:row>17</xdr:row>
      <xdr:rowOff>9525</xdr:rowOff>
    </xdr:to>
    <mc:AlternateContent xmlns:mc="http://schemas.openxmlformats.org/markup-compatibility/2006">
      <mc:Choice xmlns:a14="http://schemas.microsoft.com/office/drawing/2010/main" Requires="a14">
        <xdr:graphicFrame macro="">
          <xdr:nvGraphicFramePr>
            <xdr:cNvPr id="5" name="sector">
              <a:extLst>
                <a:ext uri="{FF2B5EF4-FFF2-40B4-BE49-F238E27FC236}">
                  <a16:creationId xmlns:a16="http://schemas.microsoft.com/office/drawing/2014/main" id="{6C8D946C-4ECF-49DC-FB2E-9324769A5F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7515224" y="2438400"/>
              <a:ext cx="2466975"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choudhary" refreshedDate="46165.416707986114" createdVersion="8" refreshedVersion="8" minRefreshableVersion="3" recordCount="1600" xr:uid="{C1BD62E1-F903-4BBA-993E-92096E73192A}">
  <cacheSource type="worksheet">
    <worksheetSource name="raw_data"/>
  </cacheSource>
  <cacheFields count="12">
    <cacheField name="record_id" numFmtId="0">
      <sharedItems/>
    </cacheField>
    <cacheField name="sector" numFmtId="0">
      <sharedItems count="6">
        <s v="Manufacturing"/>
        <s v="Hospitality"/>
        <s v="Healthcare"/>
        <s v="Logistics"/>
        <s v="IT Services"/>
        <s v="Retail"/>
      </sharedItems>
    </cacheField>
    <cacheField name="employees" numFmtId="0">
      <sharedItems containsSemiMixedTypes="0" containsString="0" containsNumber="1" containsInteger="1" minValue="3" maxValue="120"/>
    </cacheField>
    <cacheField name="month" numFmtId="0">
      <sharedItems count="12">
        <s v="April"/>
        <s v="August"/>
        <s v="December"/>
        <s v="February"/>
        <s v="January"/>
        <s v="July"/>
        <s v="June"/>
        <s v="March"/>
        <s v="May"/>
        <s v="November"/>
        <s v="October"/>
        <s v="September"/>
      </sharedItems>
    </cacheField>
    <cacheField name="revenue_usd" numFmtId="0">
      <sharedItems containsSemiMixedTypes="0" containsString="0" containsNumber="1" minValue="4000" maxValue="119733.63"/>
    </cacheField>
    <cacheField name="opex_usd" numFmtId="0">
      <sharedItems containsSemiMixedTypes="0" containsString="0" containsNumber="1" minValue="2500" maxValue="117574.34"/>
    </cacheField>
    <cacheField name="accounts_receivable_days" numFmtId="0">
      <sharedItems containsSemiMixedTypes="0" containsString="0" containsNumber="1" containsInteger="1" minValue="10" maxValue="90"/>
    </cacheField>
    <cacheField name="inventory_days" numFmtId="0">
      <sharedItems containsSemiMixedTypes="0" containsString="0" containsNumber="1" containsInteger="1" minValue="0" maxValue="93"/>
    </cacheField>
    <cacheField name="loan_balance_usd" numFmtId="0">
      <sharedItems containsSemiMixedTypes="0" containsString="0" containsNumber="1" minValue="0" maxValue="109485.48"/>
    </cacheField>
    <cacheField name="owner_injections_usd" numFmtId="0">
      <sharedItems containsSemiMixedTypes="0" containsString="0" containsNumber="1" minValue="0" maxValue="19664.95"/>
    </cacheField>
    <cacheField name="cashflow_stress_next_month" numFmtId="0">
      <sharedItems containsSemiMixedTypes="0" containsString="0" containsNumber="1" containsInteger="1" minValue="0" maxValue="1" count="2">
        <n v="0"/>
        <n v="1"/>
      </sharedItems>
    </cacheField>
    <cacheField name="Year" numFmtId="0">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pivotCacheId="1015919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s v="R01177"/>
    <x v="0"/>
    <n v="104"/>
    <x v="0"/>
    <n v="90420.800000000003"/>
    <n v="68039.679999999993"/>
    <n v="43"/>
    <n v="44"/>
    <n v="47793.36"/>
    <n v="5013.2299999999996"/>
    <x v="0"/>
    <x v="0"/>
  </r>
  <r>
    <s v="R00475"/>
    <x v="1"/>
    <n v="107"/>
    <x v="0"/>
    <n v="111521.58"/>
    <n v="100874.68"/>
    <n v="19"/>
    <n v="16"/>
    <n v="9022.42"/>
    <n v="5036.3100000000004"/>
    <x v="0"/>
    <x v="0"/>
  </r>
  <r>
    <s v="R00246"/>
    <x v="2"/>
    <n v="70"/>
    <x v="0"/>
    <n v="78726.66"/>
    <n v="48203.79"/>
    <n v="19"/>
    <n v="0"/>
    <n v="16066.84"/>
    <n v="1669.03"/>
    <x v="0"/>
    <x v="0"/>
  </r>
  <r>
    <s v="R01262"/>
    <x v="2"/>
    <n v="40"/>
    <x v="0"/>
    <n v="47063.01"/>
    <n v="27954.89"/>
    <n v="55"/>
    <n v="40"/>
    <n v="51978.13"/>
    <n v="9549.67"/>
    <x v="1"/>
    <x v="0"/>
  </r>
  <r>
    <s v="R01014"/>
    <x v="0"/>
    <n v="41"/>
    <x v="0"/>
    <n v="25458.86"/>
    <n v="14963.47"/>
    <n v="37"/>
    <n v="4"/>
    <n v="68949.850000000006"/>
    <n v="0"/>
    <x v="0"/>
    <x v="0"/>
  </r>
  <r>
    <s v="R01273"/>
    <x v="3"/>
    <n v="67"/>
    <x v="0"/>
    <n v="58254.17"/>
    <n v="51733.52"/>
    <n v="55"/>
    <n v="47"/>
    <n v="46780.83"/>
    <n v="5090.34"/>
    <x v="0"/>
    <x v="0"/>
  </r>
  <r>
    <s v="R00134"/>
    <x v="3"/>
    <n v="9"/>
    <x v="0"/>
    <n v="4000"/>
    <n v="3751.06"/>
    <n v="56"/>
    <n v="15"/>
    <n v="6003.55"/>
    <n v="10515.52"/>
    <x v="0"/>
    <x v="0"/>
  </r>
  <r>
    <s v="R01009"/>
    <x v="2"/>
    <n v="52"/>
    <x v="0"/>
    <n v="43465.01"/>
    <n v="46503.67"/>
    <n v="21"/>
    <n v="14"/>
    <n v="48757.69"/>
    <n v="2765.84"/>
    <x v="0"/>
    <x v="0"/>
  </r>
  <r>
    <s v="R01290"/>
    <x v="1"/>
    <n v="30"/>
    <x v="0"/>
    <n v="23371.72"/>
    <n v="24690.63"/>
    <n v="47"/>
    <n v="0"/>
    <n v="36458.949999999997"/>
    <n v="4046.09"/>
    <x v="0"/>
    <x v="0"/>
  </r>
  <r>
    <s v="R01007"/>
    <x v="3"/>
    <n v="38"/>
    <x v="0"/>
    <n v="41329.800000000003"/>
    <n v="34818.9"/>
    <n v="24"/>
    <n v="0"/>
    <n v="42276.34"/>
    <n v="10853.28"/>
    <x v="0"/>
    <x v="0"/>
  </r>
  <r>
    <s v="R00210"/>
    <x v="3"/>
    <n v="99"/>
    <x v="0"/>
    <n v="68303.97"/>
    <n v="60986.64"/>
    <n v="11"/>
    <n v="37"/>
    <n v="63373.71"/>
    <n v="2850.51"/>
    <x v="0"/>
    <x v="0"/>
  </r>
  <r>
    <s v="R00984"/>
    <x v="4"/>
    <n v="6"/>
    <x v="0"/>
    <n v="4872.12"/>
    <n v="4683.1400000000003"/>
    <n v="38"/>
    <n v="20"/>
    <n v="47813.279999999999"/>
    <n v="1917.08"/>
    <x v="0"/>
    <x v="0"/>
  </r>
  <r>
    <s v="R00466"/>
    <x v="4"/>
    <n v="77"/>
    <x v="0"/>
    <n v="64462.68"/>
    <n v="57474.64"/>
    <n v="15"/>
    <n v="35"/>
    <n v="0"/>
    <n v="0"/>
    <x v="1"/>
    <x v="0"/>
  </r>
  <r>
    <s v="R00607"/>
    <x v="4"/>
    <n v="22"/>
    <x v="0"/>
    <n v="24045.52"/>
    <n v="20852.63"/>
    <n v="43"/>
    <n v="20"/>
    <n v="25769.65"/>
    <n v="2816.29"/>
    <x v="0"/>
    <x v="0"/>
  </r>
  <r>
    <s v="R00055"/>
    <x v="0"/>
    <n v="5"/>
    <x v="0"/>
    <n v="14579.31"/>
    <n v="15303.32"/>
    <n v="76"/>
    <n v="15"/>
    <n v="65023.18"/>
    <n v="12231.74"/>
    <x v="0"/>
    <x v="0"/>
  </r>
  <r>
    <s v="R00141"/>
    <x v="3"/>
    <n v="82"/>
    <x v="0"/>
    <n v="79096.73"/>
    <n v="47677.53"/>
    <n v="24"/>
    <n v="20"/>
    <n v="18557.080000000002"/>
    <n v="10113.83"/>
    <x v="0"/>
    <x v="0"/>
  </r>
  <r>
    <s v="R00576"/>
    <x v="2"/>
    <n v="4"/>
    <x v="0"/>
    <n v="25606.27"/>
    <n v="16420.78"/>
    <n v="47"/>
    <n v="33"/>
    <n v="84764.05"/>
    <n v="0"/>
    <x v="0"/>
    <x v="0"/>
  </r>
  <r>
    <s v="R01369"/>
    <x v="5"/>
    <n v="107"/>
    <x v="0"/>
    <n v="101380.46"/>
    <n v="95750.06"/>
    <n v="41"/>
    <n v="14"/>
    <n v="33727.35"/>
    <n v="6320.41"/>
    <x v="1"/>
    <x v="0"/>
  </r>
  <r>
    <s v="R00614"/>
    <x v="1"/>
    <n v="10"/>
    <x v="0"/>
    <n v="4000"/>
    <n v="3874.59"/>
    <n v="43"/>
    <n v="70"/>
    <n v="49352.33"/>
    <n v="1854.97"/>
    <x v="0"/>
    <x v="0"/>
  </r>
  <r>
    <s v="R00939"/>
    <x v="2"/>
    <n v="101"/>
    <x v="0"/>
    <n v="67729.69"/>
    <n v="39871.71"/>
    <n v="10"/>
    <n v="28"/>
    <n v="9883.9699999999993"/>
    <n v="198.84"/>
    <x v="1"/>
    <x v="0"/>
  </r>
  <r>
    <s v="R01022"/>
    <x v="5"/>
    <n v="68"/>
    <x v="0"/>
    <n v="69788.88"/>
    <n v="54071.53"/>
    <n v="37"/>
    <n v="31"/>
    <n v="35473.599999999999"/>
    <n v="11708.02"/>
    <x v="0"/>
    <x v="0"/>
  </r>
  <r>
    <s v="R00476"/>
    <x v="2"/>
    <n v="17"/>
    <x v="0"/>
    <n v="22258.9"/>
    <n v="22304.31"/>
    <n v="30"/>
    <n v="0"/>
    <n v="19172.36"/>
    <n v="189.49"/>
    <x v="0"/>
    <x v="0"/>
  </r>
  <r>
    <s v="R01230"/>
    <x v="0"/>
    <n v="18"/>
    <x v="0"/>
    <n v="38160.25"/>
    <n v="32931.599999999999"/>
    <n v="35"/>
    <n v="3"/>
    <n v="46665.120000000003"/>
    <n v="2314.9699999999998"/>
    <x v="0"/>
    <x v="0"/>
  </r>
  <r>
    <s v="R00486"/>
    <x v="3"/>
    <n v="47"/>
    <x v="0"/>
    <n v="26187.759999999998"/>
    <n v="15227.06"/>
    <n v="19"/>
    <n v="18"/>
    <n v="92217.3"/>
    <n v="4843.18"/>
    <x v="0"/>
    <x v="0"/>
  </r>
  <r>
    <s v="R01108"/>
    <x v="3"/>
    <n v="6"/>
    <x v="0"/>
    <n v="22705.69"/>
    <n v="23252.79"/>
    <n v="63"/>
    <n v="18"/>
    <n v="41228.22"/>
    <n v="0"/>
    <x v="0"/>
    <x v="0"/>
  </r>
  <r>
    <s v="R00581"/>
    <x v="3"/>
    <n v="96"/>
    <x v="0"/>
    <n v="84848.320000000007"/>
    <n v="56151.94"/>
    <n v="62"/>
    <n v="23"/>
    <n v="70647.179999999993"/>
    <n v="2312.0700000000002"/>
    <x v="1"/>
    <x v="0"/>
  </r>
  <r>
    <s v="R01118"/>
    <x v="3"/>
    <n v="14"/>
    <x v="0"/>
    <n v="23890.87"/>
    <n v="14046.29"/>
    <n v="60"/>
    <n v="34"/>
    <n v="55887.25"/>
    <n v="11146.08"/>
    <x v="0"/>
    <x v="0"/>
  </r>
  <r>
    <s v="R01132"/>
    <x v="1"/>
    <n v="106"/>
    <x v="0"/>
    <n v="106933.55"/>
    <n v="97249.81"/>
    <n v="25"/>
    <n v="41"/>
    <n v="0"/>
    <n v="0"/>
    <x v="0"/>
    <x v="0"/>
  </r>
  <r>
    <s v="R01136"/>
    <x v="3"/>
    <n v="95"/>
    <x v="0"/>
    <n v="91194.09"/>
    <n v="64953.83"/>
    <n v="33"/>
    <n v="14"/>
    <n v="19381.599999999999"/>
    <n v="3959.9"/>
    <x v="0"/>
    <x v="0"/>
  </r>
  <r>
    <s v="R01155"/>
    <x v="4"/>
    <n v="100"/>
    <x v="0"/>
    <n v="80385.289999999994"/>
    <n v="74210.14"/>
    <n v="10"/>
    <n v="4"/>
    <n v="22790.33"/>
    <n v="3804.44"/>
    <x v="0"/>
    <x v="0"/>
  </r>
  <r>
    <s v="R00591"/>
    <x v="1"/>
    <n v="96"/>
    <x v="0"/>
    <n v="81291.94"/>
    <n v="58046.37"/>
    <n v="30"/>
    <n v="21"/>
    <n v="54153.3"/>
    <n v="5540.6"/>
    <x v="0"/>
    <x v="0"/>
  </r>
  <r>
    <s v="R00118"/>
    <x v="2"/>
    <n v="49"/>
    <x v="0"/>
    <n v="60357.18"/>
    <n v="39368.22"/>
    <n v="34"/>
    <n v="27"/>
    <n v="29160.79"/>
    <n v="3985.91"/>
    <x v="0"/>
    <x v="0"/>
  </r>
  <r>
    <s v="R00503"/>
    <x v="5"/>
    <n v="99"/>
    <x v="0"/>
    <n v="91756.03"/>
    <n v="78481.81"/>
    <n v="45"/>
    <n v="13"/>
    <n v="43418.22"/>
    <n v="164.21"/>
    <x v="0"/>
    <x v="0"/>
  </r>
  <r>
    <s v="R01392"/>
    <x v="5"/>
    <n v="114"/>
    <x v="0"/>
    <n v="105854.21"/>
    <n v="65983.759999999995"/>
    <n v="36"/>
    <n v="30"/>
    <n v="69650.44"/>
    <n v="8112.22"/>
    <x v="0"/>
    <x v="0"/>
  </r>
  <r>
    <s v="R00595"/>
    <x v="4"/>
    <n v="88"/>
    <x v="0"/>
    <n v="80698.78"/>
    <n v="55464.85"/>
    <n v="59"/>
    <n v="37"/>
    <n v="31554.26"/>
    <n v="0"/>
    <x v="0"/>
    <x v="0"/>
  </r>
  <r>
    <s v="R00213"/>
    <x v="1"/>
    <n v="89"/>
    <x v="0"/>
    <n v="75109.08"/>
    <n v="47375.64"/>
    <n v="71"/>
    <n v="35"/>
    <n v="16635.45"/>
    <n v="7477.26"/>
    <x v="0"/>
    <x v="0"/>
  </r>
  <r>
    <s v="R00493"/>
    <x v="2"/>
    <n v="19"/>
    <x v="0"/>
    <n v="22287.78"/>
    <n v="16571.64"/>
    <n v="64"/>
    <n v="47"/>
    <n v="20133.2"/>
    <n v="9366.5499999999993"/>
    <x v="0"/>
    <x v="0"/>
  </r>
  <r>
    <s v="R00490"/>
    <x v="3"/>
    <n v="35"/>
    <x v="0"/>
    <n v="40089.9"/>
    <n v="41666.720000000001"/>
    <n v="46"/>
    <n v="25"/>
    <n v="78910.19"/>
    <n v="14004.21"/>
    <x v="0"/>
    <x v="0"/>
  </r>
  <r>
    <s v="R01044"/>
    <x v="4"/>
    <n v="49"/>
    <x v="0"/>
    <n v="50332.78"/>
    <n v="49146.52"/>
    <n v="40"/>
    <n v="26"/>
    <n v="21376.45"/>
    <n v="2595.67"/>
    <x v="0"/>
    <x v="0"/>
  </r>
  <r>
    <s v="R01042"/>
    <x v="2"/>
    <n v="18"/>
    <x v="0"/>
    <n v="17471.68"/>
    <n v="17660.57"/>
    <n v="16"/>
    <n v="34"/>
    <n v="34940.22"/>
    <n v="9724.89"/>
    <x v="0"/>
    <x v="0"/>
  </r>
  <r>
    <s v="R01201"/>
    <x v="2"/>
    <n v="91"/>
    <x v="0"/>
    <n v="81768.45"/>
    <n v="70359.23"/>
    <n v="17"/>
    <n v="26"/>
    <n v="34115.339999999997"/>
    <n v="5875.42"/>
    <x v="0"/>
    <x v="0"/>
  </r>
  <r>
    <s v="R01203"/>
    <x v="5"/>
    <n v="11"/>
    <x v="0"/>
    <n v="8696.2800000000007"/>
    <n v="6928.22"/>
    <n v="28"/>
    <n v="7"/>
    <n v="79732.97"/>
    <n v="4702.8599999999997"/>
    <x v="1"/>
    <x v="0"/>
  </r>
  <r>
    <s v="R01208"/>
    <x v="1"/>
    <n v="8"/>
    <x v="0"/>
    <n v="21723.13"/>
    <n v="21992.81"/>
    <n v="24"/>
    <n v="47"/>
    <n v="0"/>
    <n v="0"/>
    <x v="0"/>
    <x v="0"/>
  </r>
  <r>
    <s v="R00596"/>
    <x v="1"/>
    <n v="80"/>
    <x v="0"/>
    <n v="67807.45"/>
    <n v="59118"/>
    <n v="34"/>
    <n v="29"/>
    <n v="24133.39"/>
    <n v="0"/>
    <x v="0"/>
    <x v="0"/>
  </r>
  <r>
    <s v="R01048"/>
    <x v="2"/>
    <n v="50"/>
    <x v="0"/>
    <n v="41171.5"/>
    <n v="27788.21"/>
    <n v="35"/>
    <n v="49"/>
    <n v="48520.55"/>
    <n v="0"/>
    <x v="1"/>
    <x v="0"/>
  </r>
  <r>
    <s v="R00047"/>
    <x v="2"/>
    <n v="118"/>
    <x v="0"/>
    <n v="109885.16"/>
    <n v="113983.2"/>
    <n v="40"/>
    <n v="56"/>
    <n v="43582.95"/>
    <n v="0"/>
    <x v="1"/>
    <x v="0"/>
  </r>
  <r>
    <s v="R00612"/>
    <x v="0"/>
    <n v="111"/>
    <x v="0"/>
    <n v="90619.89"/>
    <n v="58701.24"/>
    <n v="27"/>
    <n v="2"/>
    <n v="38321.07"/>
    <n v="2914.51"/>
    <x v="0"/>
    <x v="0"/>
  </r>
  <r>
    <s v="R00443"/>
    <x v="0"/>
    <n v="94"/>
    <x v="0"/>
    <n v="75348.679999999993"/>
    <n v="74933.429999999993"/>
    <n v="52"/>
    <n v="42"/>
    <n v="37636.04"/>
    <n v="11940.24"/>
    <x v="1"/>
    <x v="0"/>
  </r>
  <r>
    <s v="R01480"/>
    <x v="1"/>
    <n v="39"/>
    <x v="0"/>
    <n v="46782.69"/>
    <n v="39914.42"/>
    <n v="27"/>
    <n v="22"/>
    <n v="25258.47"/>
    <n v="2114.9499999999998"/>
    <x v="0"/>
    <x v="0"/>
  </r>
  <r>
    <s v="R00880"/>
    <x v="2"/>
    <n v="61"/>
    <x v="0"/>
    <n v="53906.81"/>
    <n v="51686.44"/>
    <n v="40"/>
    <n v="3"/>
    <n v="0"/>
    <n v="0"/>
    <x v="0"/>
    <x v="0"/>
  </r>
  <r>
    <s v="R00685"/>
    <x v="1"/>
    <n v="76"/>
    <x v="0"/>
    <n v="76005.009999999995"/>
    <n v="44445.08"/>
    <n v="56"/>
    <n v="0"/>
    <n v="21068.79"/>
    <n v="6058.71"/>
    <x v="0"/>
    <x v="0"/>
  </r>
  <r>
    <s v="R00453"/>
    <x v="5"/>
    <n v="20"/>
    <x v="0"/>
    <n v="19755.349999999999"/>
    <n v="18806"/>
    <n v="11"/>
    <n v="25"/>
    <n v="30045.83"/>
    <n v="466.94"/>
    <x v="0"/>
    <x v="0"/>
  </r>
  <r>
    <s v="R01517"/>
    <x v="1"/>
    <n v="104"/>
    <x v="0"/>
    <n v="94160.31"/>
    <n v="62773.87"/>
    <n v="21"/>
    <n v="0"/>
    <n v="46306.25"/>
    <n v="7501.78"/>
    <x v="0"/>
    <x v="0"/>
  </r>
  <r>
    <s v="R00362"/>
    <x v="4"/>
    <n v="52"/>
    <x v="0"/>
    <n v="44347.06"/>
    <n v="47581.919999999998"/>
    <n v="58"/>
    <n v="35"/>
    <n v="59779.02"/>
    <n v="3895.97"/>
    <x v="1"/>
    <x v="0"/>
  </r>
  <r>
    <s v="R00015"/>
    <x v="0"/>
    <n v="69"/>
    <x v="0"/>
    <n v="73563.33"/>
    <n v="66807.56"/>
    <n v="45"/>
    <n v="41"/>
    <n v="36106.61"/>
    <n v="6376.22"/>
    <x v="0"/>
    <x v="0"/>
  </r>
  <r>
    <s v="R00014"/>
    <x v="1"/>
    <n v="51"/>
    <x v="0"/>
    <n v="50352.56"/>
    <n v="48257.48"/>
    <n v="35"/>
    <n v="12"/>
    <n v="49291.040000000001"/>
    <n v="2388.87"/>
    <x v="0"/>
    <x v="0"/>
  </r>
  <r>
    <s v="R01479"/>
    <x v="3"/>
    <n v="47"/>
    <x v="0"/>
    <n v="32165.81"/>
    <n v="23642.38"/>
    <n v="17"/>
    <n v="22"/>
    <n v="45386.93"/>
    <n v="5561.32"/>
    <x v="0"/>
    <x v="0"/>
  </r>
  <r>
    <s v="R01546"/>
    <x v="2"/>
    <n v="9"/>
    <x v="0"/>
    <n v="4000"/>
    <n v="3693.7"/>
    <n v="19"/>
    <n v="62"/>
    <n v="56737"/>
    <n v="0"/>
    <x v="0"/>
    <x v="0"/>
  </r>
  <r>
    <s v="R00706"/>
    <x v="5"/>
    <n v="118"/>
    <x v="0"/>
    <n v="98564.66"/>
    <n v="101307.77"/>
    <n v="15"/>
    <n v="20"/>
    <n v="64461.02"/>
    <n v="5255.54"/>
    <x v="1"/>
    <x v="0"/>
  </r>
  <r>
    <s v="R00186"/>
    <x v="5"/>
    <n v="109"/>
    <x v="0"/>
    <n v="91034.12"/>
    <n v="80923.360000000001"/>
    <n v="10"/>
    <n v="30"/>
    <n v="6762.31"/>
    <n v="3208.29"/>
    <x v="1"/>
    <x v="0"/>
  </r>
  <r>
    <s v="R00185"/>
    <x v="0"/>
    <n v="55"/>
    <x v="0"/>
    <n v="48671.16"/>
    <n v="30998.45"/>
    <n v="12"/>
    <n v="26"/>
    <n v="51100.4"/>
    <n v="0"/>
    <x v="1"/>
    <x v="0"/>
  </r>
  <r>
    <s v="R01573"/>
    <x v="0"/>
    <n v="42"/>
    <x v="0"/>
    <n v="40483.24"/>
    <n v="29162.26"/>
    <n v="60"/>
    <n v="27"/>
    <n v="20443.47"/>
    <n v="0"/>
    <x v="1"/>
    <x v="0"/>
  </r>
  <r>
    <s v="R00778"/>
    <x v="5"/>
    <n v="21"/>
    <x v="0"/>
    <n v="16008.01"/>
    <n v="12997.31"/>
    <n v="40"/>
    <n v="37"/>
    <n v="27113.33"/>
    <n v="14494.63"/>
    <x v="0"/>
    <x v="0"/>
  </r>
  <r>
    <s v="R00771"/>
    <x v="5"/>
    <n v="31"/>
    <x v="0"/>
    <n v="40889.64"/>
    <n v="43771.08"/>
    <n v="27"/>
    <n v="43"/>
    <n v="39780.93"/>
    <n v="10001.57"/>
    <x v="0"/>
    <x v="0"/>
  </r>
  <r>
    <s v="R00004"/>
    <x v="5"/>
    <n v="107"/>
    <x v="0"/>
    <n v="79558.649999999994"/>
    <n v="60416.72"/>
    <n v="31"/>
    <n v="48"/>
    <n v="58377.79"/>
    <n v="0"/>
    <x v="1"/>
    <x v="0"/>
  </r>
  <r>
    <s v="R00761"/>
    <x v="3"/>
    <n v="51"/>
    <x v="0"/>
    <n v="34442.53"/>
    <n v="26597.54"/>
    <n v="40"/>
    <n v="24"/>
    <n v="0"/>
    <n v="441.3"/>
    <x v="0"/>
    <x v="0"/>
  </r>
  <r>
    <s v="R00833"/>
    <x v="1"/>
    <n v="58"/>
    <x v="0"/>
    <n v="52674.61"/>
    <n v="40016.93"/>
    <n v="45"/>
    <n v="20"/>
    <n v="20544.27"/>
    <n v="0"/>
    <x v="0"/>
    <x v="0"/>
  </r>
  <r>
    <s v="R00646"/>
    <x v="2"/>
    <n v="65"/>
    <x v="0"/>
    <n v="45091.65"/>
    <n v="35529.300000000003"/>
    <n v="54"/>
    <n v="13"/>
    <n v="44546.11"/>
    <n v="0"/>
    <x v="0"/>
    <x v="0"/>
  </r>
  <r>
    <s v="R00363"/>
    <x v="3"/>
    <n v="109"/>
    <x v="0"/>
    <n v="100251.65"/>
    <n v="72482.37"/>
    <n v="13"/>
    <n v="35"/>
    <n v="23506.560000000001"/>
    <n v="6033.52"/>
    <x v="0"/>
    <x v="0"/>
  </r>
  <r>
    <s v="R00643"/>
    <x v="3"/>
    <n v="113"/>
    <x v="0"/>
    <n v="102009.67"/>
    <n v="65931.17"/>
    <n v="67"/>
    <n v="41"/>
    <n v="39822.959999999999"/>
    <n v="15072.13"/>
    <x v="0"/>
    <x v="0"/>
  </r>
  <r>
    <s v="R00937"/>
    <x v="3"/>
    <n v="21"/>
    <x v="0"/>
    <n v="12877.27"/>
    <n v="9744.35"/>
    <n v="30"/>
    <n v="19"/>
    <n v="32193.63"/>
    <n v="4869.55"/>
    <x v="0"/>
    <x v="0"/>
  </r>
  <r>
    <s v="R00926"/>
    <x v="1"/>
    <n v="110"/>
    <x v="0"/>
    <n v="66281.320000000007"/>
    <n v="40277.57"/>
    <n v="55"/>
    <n v="26"/>
    <n v="46848.42"/>
    <n v="0"/>
    <x v="0"/>
    <x v="0"/>
  </r>
  <r>
    <s v="R00435"/>
    <x v="3"/>
    <n v="69"/>
    <x v="0"/>
    <n v="58774.8"/>
    <n v="34849.800000000003"/>
    <n v="57"/>
    <n v="21"/>
    <n v="28050.880000000001"/>
    <n v="5039.6099999999997"/>
    <x v="0"/>
    <x v="0"/>
  </r>
  <r>
    <s v="R01422"/>
    <x v="0"/>
    <n v="27"/>
    <x v="0"/>
    <n v="28123.07"/>
    <n v="26462.41"/>
    <n v="46"/>
    <n v="12"/>
    <n v="58920.4"/>
    <n v="9065.34"/>
    <x v="0"/>
    <x v="0"/>
  </r>
  <r>
    <s v="R00618"/>
    <x v="3"/>
    <n v="21"/>
    <x v="0"/>
    <n v="36404.300000000003"/>
    <n v="37627.46"/>
    <n v="41"/>
    <n v="60"/>
    <n v="10910.06"/>
    <n v="0"/>
    <x v="0"/>
    <x v="0"/>
  </r>
  <r>
    <s v="R00258"/>
    <x v="5"/>
    <n v="86"/>
    <x v="0"/>
    <n v="68503.929999999993"/>
    <n v="43191.75"/>
    <n v="24"/>
    <n v="54"/>
    <n v="66889.509999999995"/>
    <n v="0"/>
    <x v="0"/>
    <x v="0"/>
  </r>
  <r>
    <s v="R00917"/>
    <x v="0"/>
    <n v="17"/>
    <x v="0"/>
    <n v="17990.38"/>
    <n v="13380.44"/>
    <n v="40"/>
    <n v="21"/>
    <n v="0"/>
    <n v="6922.29"/>
    <x v="0"/>
    <x v="0"/>
  </r>
  <r>
    <s v="R01444"/>
    <x v="0"/>
    <n v="52"/>
    <x v="0"/>
    <n v="41127.629999999997"/>
    <n v="28232.26"/>
    <n v="29"/>
    <n v="0"/>
    <n v="42372.24"/>
    <n v="2383.5500000000002"/>
    <x v="0"/>
    <x v="0"/>
  </r>
  <r>
    <s v="R00624"/>
    <x v="1"/>
    <n v="85"/>
    <x v="0"/>
    <n v="71638.98"/>
    <n v="67760.800000000003"/>
    <n v="71"/>
    <n v="9"/>
    <n v="50730.99"/>
    <n v="9237.2000000000007"/>
    <x v="0"/>
    <x v="0"/>
  </r>
  <r>
    <s v="R00573"/>
    <x v="2"/>
    <n v="100"/>
    <x v="0"/>
    <n v="94153.93"/>
    <n v="93556.78"/>
    <n v="34"/>
    <n v="33"/>
    <n v="59987.8"/>
    <n v="619.74"/>
    <x v="1"/>
    <x v="0"/>
  </r>
  <r>
    <s v="R00642"/>
    <x v="2"/>
    <n v="40"/>
    <x v="0"/>
    <n v="45469.84"/>
    <n v="31597.41"/>
    <n v="25"/>
    <n v="0"/>
    <n v="56482.86"/>
    <n v="12087.67"/>
    <x v="0"/>
    <x v="0"/>
  </r>
  <r>
    <s v="R00899"/>
    <x v="0"/>
    <n v="84"/>
    <x v="0"/>
    <n v="67415.89"/>
    <n v="68845.03"/>
    <n v="32"/>
    <n v="44"/>
    <n v="38297.89"/>
    <n v="9491.42"/>
    <x v="1"/>
    <x v="0"/>
  </r>
  <r>
    <s v="R00631"/>
    <x v="1"/>
    <n v="3"/>
    <x v="0"/>
    <n v="33551.15"/>
    <n v="34724.67"/>
    <n v="14"/>
    <n v="30"/>
    <n v="36972.9"/>
    <n v="11583.98"/>
    <x v="0"/>
    <x v="0"/>
  </r>
  <r>
    <s v="R00871"/>
    <x v="4"/>
    <n v="108"/>
    <x v="1"/>
    <n v="85703.09"/>
    <n v="67255.47"/>
    <n v="31"/>
    <n v="20"/>
    <n v="36458.910000000003"/>
    <n v="0"/>
    <x v="0"/>
    <x v="0"/>
  </r>
  <r>
    <s v="R00707"/>
    <x v="3"/>
    <n v="91"/>
    <x v="1"/>
    <n v="82821.25"/>
    <n v="59233.95"/>
    <n v="33"/>
    <n v="31"/>
    <n v="57350.92"/>
    <n v="8397.8799999999992"/>
    <x v="0"/>
    <x v="0"/>
  </r>
  <r>
    <s v="R01093"/>
    <x v="0"/>
    <n v="71"/>
    <x v="1"/>
    <n v="58411.43"/>
    <n v="43177.19"/>
    <n v="49"/>
    <n v="11"/>
    <n v="9955.7099999999991"/>
    <n v="891.01"/>
    <x v="1"/>
    <x v="0"/>
  </r>
  <r>
    <s v="R01080"/>
    <x v="0"/>
    <n v="101"/>
    <x v="1"/>
    <n v="75732.960000000006"/>
    <n v="70063.31"/>
    <n v="27"/>
    <n v="12"/>
    <n v="37569.360000000001"/>
    <n v="0"/>
    <x v="0"/>
    <x v="0"/>
  </r>
  <r>
    <s v="R00205"/>
    <x v="5"/>
    <n v="17"/>
    <x v="1"/>
    <n v="14173.27"/>
    <n v="10360.540000000001"/>
    <n v="65"/>
    <n v="28"/>
    <n v="35951.94"/>
    <n v="4345.08"/>
    <x v="1"/>
    <x v="0"/>
  </r>
  <r>
    <s v="R00935"/>
    <x v="0"/>
    <n v="5"/>
    <x v="1"/>
    <n v="11895.78"/>
    <n v="11487.59"/>
    <n v="39"/>
    <n v="16"/>
    <n v="38443.699999999997"/>
    <n v="0"/>
    <x v="0"/>
    <x v="0"/>
  </r>
  <r>
    <s v="R01075"/>
    <x v="5"/>
    <n v="67"/>
    <x v="1"/>
    <n v="62704.03"/>
    <n v="49000.31"/>
    <n v="50"/>
    <n v="37"/>
    <n v="81230.039999999994"/>
    <n v="0"/>
    <x v="0"/>
    <x v="0"/>
  </r>
  <r>
    <s v="R00162"/>
    <x v="4"/>
    <n v="36"/>
    <x v="1"/>
    <n v="40568.47"/>
    <n v="30783.71"/>
    <n v="35"/>
    <n v="1"/>
    <n v="13407.88"/>
    <n v="0"/>
    <x v="0"/>
    <x v="0"/>
  </r>
  <r>
    <s v="R01069"/>
    <x v="1"/>
    <n v="78"/>
    <x v="1"/>
    <n v="59236.95"/>
    <n v="45844.04"/>
    <n v="42"/>
    <n v="49"/>
    <n v="97506.18"/>
    <n v="1234.3699999999999"/>
    <x v="0"/>
    <x v="0"/>
  </r>
  <r>
    <s v="R00584"/>
    <x v="0"/>
    <n v="68"/>
    <x v="1"/>
    <n v="45317.36"/>
    <n v="46210.23"/>
    <n v="50"/>
    <n v="23"/>
    <n v="44564.65"/>
    <n v="0"/>
    <x v="0"/>
    <x v="0"/>
  </r>
  <r>
    <s v="R01035"/>
    <x v="3"/>
    <n v="4"/>
    <x v="1"/>
    <n v="4000"/>
    <n v="2500"/>
    <n v="29"/>
    <n v="36"/>
    <n v="0"/>
    <n v="9051.8700000000008"/>
    <x v="0"/>
    <x v="0"/>
  </r>
  <r>
    <s v="R00874"/>
    <x v="0"/>
    <n v="78"/>
    <x v="1"/>
    <n v="72820.740000000005"/>
    <n v="70808.91"/>
    <n v="31"/>
    <n v="30"/>
    <n v="10528.3"/>
    <n v="4978.9399999999996"/>
    <x v="1"/>
    <x v="0"/>
  </r>
  <r>
    <s v="R01057"/>
    <x v="3"/>
    <n v="31"/>
    <x v="1"/>
    <n v="44194.17"/>
    <n v="34658.660000000003"/>
    <n v="49"/>
    <n v="0"/>
    <n v="4872.6400000000003"/>
    <n v="4114.57"/>
    <x v="0"/>
    <x v="0"/>
  </r>
  <r>
    <s v="R00622"/>
    <x v="4"/>
    <n v="8"/>
    <x v="1"/>
    <n v="4000"/>
    <n v="2531.58"/>
    <n v="38"/>
    <n v="38"/>
    <n v="37626.35"/>
    <n v="249.98"/>
    <x v="0"/>
    <x v="0"/>
  </r>
  <r>
    <s v="R01015"/>
    <x v="1"/>
    <n v="88"/>
    <x v="1"/>
    <n v="90464.13"/>
    <n v="69504.55"/>
    <n v="33"/>
    <n v="32"/>
    <n v="26515.85"/>
    <n v="7408.01"/>
    <x v="1"/>
    <x v="0"/>
  </r>
  <r>
    <s v="R00857"/>
    <x v="2"/>
    <n v="100"/>
    <x v="1"/>
    <n v="87980.23"/>
    <n v="54182.29"/>
    <n v="41"/>
    <n v="23"/>
    <n v="59025.29"/>
    <n v="3462.85"/>
    <x v="0"/>
    <x v="0"/>
  </r>
  <r>
    <s v="R00123"/>
    <x v="2"/>
    <n v="53"/>
    <x v="1"/>
    <n v="59673.95"/>
    <n v="64426.12"/>
    <n v="38"/>
    <n v="25"/>
    <n v="58683.03"/>
    <n v="3509.14"/>
    <x v="1"/>
    <x v="0"/>
  </r>
  <r>
    <s v="R01047"/>
    <x v="3"/>
    <n v="66"/>
    <x v="1"/>
    <n v="73422.06"/>
    <n v="54721.33"/>
    <n v="10"/>
    <n v="56"/>
    <n v="21526.59"/>
    <n v="0"/>
    <x v="0"/>
    <x v="0"/>
  </r>
  <r>
    <s v="R00905"/>
    <x v="5"/>
    <n v="17"/>
    <x v="1"/>
    <n v="16277.63"/>
    <n v="15855.77"/>
    <n v="36"/>
    <n v="21"/>
    <n v="36454.660000000003"/>
    <n v="2484.91"/>
    <x v="1"/>
    <x v="0"/>
  </r>
  <r>
    <s v="R01041"/>
    <x v="5"/>
    <n v="22"/>
    <x v="1"/>
    <n v="12419.17"/>
    <n v="11974.34"/>
    <n v="60"/>
    <n v="23"/>
    <n v="29038.35"/>
    <n v="6423.5"/>
    <x v="0"/>
    <x v="0"/>
  </r>
  <r>
    <s v="R00863"/>
    <x v="0"/>
    <n v="5"/>
    <x v="1"/>
    <n v="4000"/>
    <n v="4286.25"/>
    <n v="41"/>
    <n v="0"/>
    <n v="40731.480000000003"/>
    <n v="3452.49"/>
    <x v="0"/>
    <x v="0"/>
  </r>
  <r>
    <s v="R00914"/>
    <x v="4"/>
    <n v="112"/>
    <x v="1"/>
    <n v="102362.44"/>
    <n v="67928.77"/>
    <n v="67"/>
    <n v="49"/>
    <n v="16904.77"/>
    <n v="4393.8999999999996"/>
    <x v="0"/>
    <x v="0"/>
  </r>
  <r>
    <s v="R00601"/>
    <x v="3"/>
    <n v="111"/>
    <x v="1"/>
    <n v="93785.54"/>
    <n v="89647.73"/>
    <n v="64"/>
    <n v="69"/>
    <n v="0"/>
    <n v="2656.64"/>
    <x v="0"/>
    <x v="0"/>
  </r>
  <r>
    <s v="R00001"/>
    <x v="0"/>
    <n v="93"/>
    <x v="1"/>
    <n v="71329.95"/>
    <n v="74665.070000000007"/>
    <n v="28"/>
    <n v="46"/>
    <n v="31244.94"/>
    <n v="6505.34"/>
    <x v="0"/>
    <x v="0"/>
  </r>
  <r>
    <s v="R01099"/>
    <x v="3"/>
    <n v="8"/>
    <x v="1"/>
    <n v="25521.919999999998"/>
    <n v="20852.84"/>
    <n v="10"/>
    <n v="22"/>
    <n v="0"/>
    <n v="0"/>
    <x v="0"/>
    <x v="0"/>
  </r>
  <r>
    <s v="R01324"/>
    <x v="5"/>
    <n v="86"/>
    <x v="1"/>
    <n v="70832.03"/>
    <n v="48645.98"/>
    <n v="34"/>
    <n v="34"/>
    <n v="75990.81"/>
    <n v="0"/>
    <x v="1"/>
    <x v="0"/>
  </r>
  <r>
    <s v="R01360"/>
    <x v="1"/>
    <n v="79"/>
    <x v="1"/>
    <n v="52329.95"/>
    <n v="54511.6"/>
    <n v="56"/>
    <n v="47"/>
    <n v="47565.71"/>
    <n v="0"/>
    <x v="0"/>
    <x v="0"/>
  </r>
  <r>
    <s v="R01375"/>
    <x v="5"/>
    <n v="113"/>
    <x v="1"/>
    <n v="116150.57"/>
    <n v="117574.34"/>
    <n v="32"/>
    <n v="36"/>
    <n v="19177.37"/>
    <n v="45.81"/>
    <x v="1"/>
    <x v="0"/>
  </r>
  <r>
    <s v="R01390"/>
    <x v="0"/>
    <n v="85"/>
    <x v="1"/>
    <n v="74824.399999999994"/>
    <n v="54516.160000000003"/>
    <n v="33"/>
    <n v="18"/>
    <n v="70701.98"/>
    <n v="0"/>
    <x v="0"/>
    <x v="0"/>
  </r>
  <r>
    <s v="R01409"/>
    <x v="0"/>
    <n v="35"/>
    <x v="1"/>
    <n v="44834.25"/>
    <n v="34032.720000000001"/>
    <n v="45"/>
    <n v="12"/>
    <n v="61053.61"/>
    <n v="0"/>
    <x v="0"/>
    <x v="0"/>
  </r>
  <r>
    <s v="R01414"/>
    <x v="2"/>
    <n v="114"/>
    <x v="1"/>
    <n v="103387.06"/>
    <n v="75261.009999999995"/>
    <n v="10"/>
    <n v="45"/>
    <n v="61314.49"/>
    <n v="0"/>
    <x v="0"/>
    <x v="0"/>
  </r>
  <r>
    <s v="R00042"/>
    <x v="3"/>
    <n v="40"/>
    <x v="1"/>
    <n v="31348.1"/>
    <n v="25694.77"/>
    <n v="27"/>
    <n v="28"/>
    <n v="53687.91"/>
    <n v="5125.46"/>
    <x v="0"/>
    <x v="0"/>
  </r>
  <r>
    <s v="R01425"/>
    <x v="1"/>
    <n v="76"/>
    <x v="1"/>
    <n v="69454.78"/>
    <n v="53832.45"/>
    <n v="23"/>
    <n v="33"/>
    <n v="84360.89"/>
    <n v="6839.33"/>
    <x v="0"/>
    <x v="0"/>
  </r>
  <r>
    <s v="R00259"/>
    <x v="0"/>
    <n v="73"/>
    <x v="1"/>
    <n v="60254.54"/>
    <n v="38585.24"/>
    <n v="43"/>
    <n v="35"/>
    <n v="31367.57"/>
    <n v="1216.67"/>
    <x v="0"/>
    <x v="0"/>
  </r>
  <r>
    <s v="R00434"/>
    <x v="0"/>
    <n v="120"/>
    <x v="1"/>
    <n v="91056.59"/>
    <n v="73562.89"/>
    <n v="51"/>
    <n v="32"/>
    <n v="28715.85"/>
    <n v="1254.73"/>
    <x v="1"/>
    <x v="0"/>
  </r>
  <r>
    <s v="R00420"/>
    <x v="2"/>
    <n v="61"/>
    <x v="1"/>
    <n v="56209.72"/>
    <n v="37618.339999999997"/>
    <n v="60"/>
    <n v="29"/>
    <n v="53262.02"/>
    <n v="8703.89"/>
    <x v="1"/>
    <x v="0"/>
  </r>
  <r>
    <s v="R00403"/>
    <x v="1"/>
    <n v="16"/>
    <x v="1"/>
    <n v="17418.79"/>
    <n v="18772.849999999999"/>
    <n v="56"/>
    <n v="36"/>
    <n v="45420.74"/>
    <n v="0"/>
    <x v="0"/>
    <x v="0"/>
  </r>
  <r>
    <s v="R00472"/>
    <x v="5"/>
    <n v="9"/>
    <x v="1"/>
    <n v="7330.31"/>
    <n v="4414.5600000000004"/>
    <n v="60"/>
    <n v="25"/>
    <n v="64867.05"/>
    <n v="6239.22"/>
    <x v="0"/>
    <x v="0"/>
  </r>
  <r>
    <s v="R01466"/>
    <x v="0"/>
    <n v="87"/>
    <x v="1"/>
    <n v="87642"/>
    <n v="69710.55"/>
    <n v="34"/>
    <n v="0"/>
    <n v="26950.66"/>
    <n v="2110.9899999999998"/>
    <x v="1"/>
    <x v="0"/>
  </r>
  <r>
    <s v="R00397"/>
    <x v="1"/>
    <n v="83"/>
    <x v="1"/>
    <n v="62205.97"/>
    <n v="55949.18"/>
    <n v="26"/>
    <n v="59"/>
    <n v="36541.33"/>
    <n v="3779.36"/>
    <x v="0"/>
    <x v="0"/>
  </r>
  <r>
    <s v="R01473"/>
    <x v="0"/>
    <n v="68"/>
    <x v="1"/>
    <n v="61035.09"/>
    <n v="51301.11"/>
    <n v="71"/>
    <n v="44"/>
    <n v="0"/>
    <n v="3917.45"/>
    <x v="0"/>
    <x v="0"/>
  </r>
  <r>
    <s v="R00390"/>
    <x v="3"/>
    <n v="56"/>
    <x v="1"/>
    <n v="54922.559999999998"/>
    <n v="54077.15"/>
    <n v="42"/>
    <n v="0"/>
    <n v="22605.94"/>
    <n v="1845.46"/>
    <x v="0"/>
    <x v="0"/>
  </r>
  <r>
    <s v="R01485"/>
    <x v="5"/>
    <n v="72"/>
    <x v="1"/>
    <n v="61318.400000000001"/>
    <n v="42699.46"/>
    <n v="24"/>
    <n v="10"/>
    <n v="37877.54"/>
    <n v="0"/>
    <x v="0"/>
    <x v="0"/>
  </r>
  <r>
    <s v="R00386"/>
    <x v="0"/>
    <n v="26"/>
    <x v="1"/>
    <n v="39451.620000000003"/>
    <n v="33743.99"/>
    <n v="43"/>
    <n v="33"/>
    <n v="62315.51"/>
    <n v="3562.25"/>
    <x v="0"/>
    <x v="0"/>
  </r>
  <r>
    <s v="R00381"/>
    <x v="4"/>
    <n v="31"/>
    <x v="1"/>
    <n v="36107.03"/>
    <n v="25993.87"/>
    <n v="52"/>
    <n v="25"/>
    <n v="41595.64"/>
    <n v="0"/>
    <x v="0"/>
    <x v="0"/>
  </r>
  <r>
    <s v="R00365"/>
    <x v="5"/>
    <n v="70"/>
    <x v="1"/>
    <n v="53198.11"/>
    <n v="43144.95"/>
    <n v="25"/>
    <n v="23"/>
    <n v="37887.18"/>
    <n v="0"/>
    <x v="1"/>
    <x v="0"/>
  </r>
  <r>
    <s v="R01540"/>
    <x v="0"/>
    <n v="8"/>
    <x v="1"/>
    <n v="11364.33"/>
    <n v="6922"/>
    <n v="39"/>
    <n v="19"/>
    <n v="57317.7"/>
    <n v="0"/>
    <x v="0"/>
    <x v="0"/>
  </r>
  <r>
    <s v="R01548"/>
    <x v="3"/>
    <n v="5"/>
    <x v="1"/>
    <n v="15769.07"/>
    <n v="12361.36"/>
    <n v="36"/>
    <n v="30"/>
    <n v="18809.689999999999"/>
    <n v="0"/>
    <x v="0"/>
    <x v="0"/>
  </r>
  <r>
    <s v="R00345"/>
    <x v="0"/>
    <n v="12"/>
    <x v="1"/>
    <n v="19743.689999999999"/>
    <n v="21216.720000000001"/>
    <n v="10"/>
    <n v="61"/>
    <n v="88425.72"/>
    <n v="0"/>
    <x v="0"/>
    <x v="0"/>
  </r>
  <r>
    <s v="R00344"/>
    <x v="2"/>
    <n v="98"/>
    <x v="1"/>
    <n v="85802.29"/>
    <n v="62075.14"/>
    <n v="48"/>
    <n v="45"/>
    <n v="33776.61"/>
    <n v="8540.1299999999992"/>
    <x v="0"/>
    <x v="0"/>
  </r>
  <r>
    <s v="R00332"/>
    <x v="2"/>
    <n v="32"/>
    <x v="1"/>
    <n v="45707.8"/>
    <n v="46700.75"/>
    <n v="46"/>
    <n v="31"/>
    <n v="0"/>
    <n v="0"/>
    <x v="0"/>
    <x v="0"/>
  </r>
  <r>
    <s v="R01468"/>
    <x v="5"/>
    <n v="97"/>
    <x v="1"/>
    <n v="56215.519999999997"/>
    <n v="43826.400000000001"/>
    <n v="46"/>
    <n v="36"/>
    <n v="74342.12"/>
    <n v="2658.85"/>
    <x v="1"/>
    <x v="0"/>
  </r>
  <r>
    <s v="R01302"/>
    <x v="4"/>
    <n v="114"/>
    <x v="1"/>
    <n v="90389.82"/>
    <n v="73303.12"/>
    <n v="56"/>
    <n v="55"/>
    <n v="0"/>
    <n v="9560.1299999999992"/>
    <x v="0"/>
    <x v="0"/>
  </r>
  <r>
    <s v="R00455"/>
    <x v="3"/>
    <n v="81"/>
    <x v="1"/>
    <n v="76297.36"/>
    <n v="62408.39"/>
    <n v="23"/>
    <n v="25"/>
    <n v="52856.89"/>
    <n v="7664.14"/>
    <x v="0"/>
    <x v="0"/>
  </r>
  <r>
    <s v="R01288"/>
    <x v="2"/>
    <n v="21"/>
    <x v="1"/>
    <n v="13585.59"/>
    <n v="10383.1"/>
    <n v="26"/>
    <n v="0"/>
    <n v="3325.99"/>
    <n v="6966.13"/>
    <x v="0"/>
    <x v="0"/>
  </r>
  <r>
    <s v="R00562"/>
    <x v="4"/>
    <n v="25"/>
    <x v="1"/>
    <n v="45332.21"/>
    <n v="41257.800000000003"/>
    <n v="38"/>
    <n v="9"/>
    <n v="80809.279999999999"/>
    <n v="123.04"/>
    <x v="0"/>
    <x v="0"/>
  </r>
  <r>
    <s v="R01112"/>
    <x v="0"/>
    <n v="32"/>
    <x v="1"/>
    <n v="26094.84"/>
    <n v="18780.52"/>
    <n v="57"/>
    <n v="23"/>
    <n v="7857.45"/>
    <n v="2319.1799999999998"/>
    <x v="0"/>
    <x v="0"/>
  </r>
  <r>
    <s v="R00544"/>
    <x v="0"/>
    <n v="63"/>
    <x v="1"/>
    <n v="68587.83"/>
    <n v="71836.960000000006"/>
    <n v="34"/>
    <n v="10"/>
    <n v="49026.97"/>
    <n v="7265.16"/>
    <x v="0"/>
    <x v="0"/>
  </r>
  <r>
    <s v="R00524"/>
    <x v="2"/>
    <n v="19"/>
    <x v="1"/>
    <n v="12943.17"/>
    <n v="7814.23"/>
    <n v="62"/>
    <n v="19"/>
    <n v="65728.69"/>
    <n v="8184.08"/>
    <x v="0"/>
    <x v="0"/>
  </r>
  <r>
    <s v="R00093"/>
    <x v="2"/>
    <n v="117"/>
    <x v="1"/>
    <n v="104336"/>
    <n v="84350.85"/>
    <n v="44"/>
    <n v="60"/>
    <n v="29800.61"/>
    <n v="0"/>
    <x v="0"/>
    <x v="0"/>
  </r>
  <r>
    <s v="R00504"/>
    <x v="3"/>
    <n v="75"/>
    <x v="1"/>
    <n v="53013.03"/>
    <n v="34433.379999999997"/>
    <n v="43"/>
    <n v="35"/>
    <n v="39108.660000000003"/>
    <n v="0"/>
    <x v="0"/>
    <x v="0"/>
  </r>
  <r>
    <s v="R01294"/>
    <x v="2"/>
    <n v="67"/>
    <x v="1"/>
    <n v="55708.27"/>
    <n v="59375.4"/>
    <n v="13"/>
    <n v="4"/>
    <n v="44118.559999999998"/>
    <n v="2827.64"/>
    <x v="1"/>
    <x v="0"/>
  </r>
  <r>
    <s v="R01186"/>
    <x v="3"/>
    <n v="58"/>
    <x v="1"/>
    <n v="61384.61"/>
    <n v="55969.17"/>
    <n v="48"/>
    <n v="6"/>
    <n v="36561.22"/>
    <n v="2433.3000000000002"/>
    <x v="1"/>
    <x v="0"/>
  </r>
  <r>
    <s v="R00086"/>
    <x v="2"/>
    <n v="33"/>
    <x v="1"/>
    <n v="25574.57"/>
    <n v="22477.7"/>
    <n v="50"/>
    <n v="6"/>
    <n v="6956.36"/>
    <n v="0"/>
    <x v="0"/>
    <x v="0"/>
  </r>
  <r>
    <s v="R00237"/>
    <x v="2"/>
    <n v="60"/>
    <x v="1"/>
    <n v="50280.89"/>
    <n v="42918.79"/>
    <n v="38"/>
    <n v="8"/>
    <n v="77967.7"/>
    <n v="2307.7199999999998"/>
    <x v="1"/>
    <x v="0"/>
  </r>
  <r>
    <s v="R00489"/>
    <x v="3"/>
    <n v="94"/>
    <x v="1"/>
    <n v="66675.210000000006"/>
    <n v="41508.46"/>
    <n v="34"/>
    <n v="5"/>
    <n v="69727.539999999994"/>
    <n v="0"/>
    <x v="0"/>
    <x v="0"/>
  </r>
  <r>
    <s v="R01185"/>
    <x v="5"/>
    <n v="39"/>
    <x v="1"/>
    <n v="31628.27"/>
    <n v="19515.14"/>
    <n v="10"/>
    <n v="32"/>
    <n v="43291.64"/>
    <n v="2107.54"/>
    <x v="0"/>
    <x v="0"/>
  </r>
  <r>
    <s v="R01240"/>
    <x v="1"/>
    <n v="84"/>
    <x v="1"/>
    <n v="69859.97"/>
    <n v="46876.98"/>
    <n v="38"/>
    <n v="38"/>
    <n v="57322.07"/>
    <n v="3833.81"/>
    <x v="0"/>
    <x v="0"/>
  </r>
  <r>
    <s v="R01213"/>
    <x v="2"/>
    <n v="28"/>
    <x v="1"/>
    <n v="26133.08"/>
    <n v="21423.02"/>
    <n v="41"/>
    <n v="0"/>
    <n v="29661.97"/>
    <n v="4716.07"/>
    <x v="0"/>
    <x v="0"/>
  </r>
  <r>
    <s v="R01217"/>
    <x v="4"/>
    <n v="106"/>
    <x v="1"/>
    <n v="91347.7"/>
    <n v="80220.97"/>
    <n v="62"/>
    <n v="18"/>
    <n v="36473.129999999997"/>
    <n v="2994.58"/>
    <x v="0"/>
    <x v="0"/>
  </r>
  <r>
    <s v="R00242"/>
    <x v="4"/>
    <n v="16"/>
    <x v="1"/>
    <n v="31620.87"/>
    <n v="29387.49"/>
    <n v="60"/>
    <n v="21"/>
    <n v="66682.75"/>
    <n v="2696.69"/>
    <x v="0"/>
    <x v="0"/>
  </r>
  <r>
    <s v="R01266"/>
    <x v="4"/>
    <n v="75"/>
    <x v="1"/>
    <n v="52656.83"/>
    <n v="34049.08"/>
    <n v="45"/>
    <n v="12"/>
    <n v="27832.26"/>
    <n v="0"/>
    <x v="0"/>
    <x v="0"/>
  </r>
  <r>
    <s v="R00474"/>
    <x v="4"/>
    <n v="99"/>
    <x v="1"/>
    <n v="75053.45"/>
    <n v="67222.929999999993"/>
    <n v="25"/>
    <n v="43"/>
    <n v="29667.919999999998"/>
    <n v="0"/>
    <x v="0"/>
    <x v="0"/>
  </r>
  <r>
    <s v="R00247"/>
    <x v="0"/>
    <n v="78"/>
    <x v="1"/>
    <n v="56828.79"/>
    <n v="34391.61"/>
    <n v="38"/>
    <n v="39"/>
    <n v="10951.47"/>
    <n v="3591.6"/>
    <x v="1"/>
    <x v="0"/>
  </r>
  <r>
    <s v="R00217"/>
    <x v="5"/>
    <n v="51"/>
    <x v="2"/>
    <n v="31702.53"/>
    <n v="22692.79"/>
    <n v="25"/>
    <n v="31"/>
    <n v="0"/>
    <n v="12319.29"/>
    <x v="0"/>
    <x v="0"/>
  </r>
  <r>
    <s v="R00353"/>
    <x v="0"/>
    <n v="23"/>
    <x v="2"/>
    <n v="19529.09"/>
    <n v="17199.14"/>
    <n v="47"/>
    <n v="40"/>
    <n v="0"/>
    <n v="0"/>
    <x v="0"/>
    <x v="0"/>
  </r>
  <r>
    <s v="R00488"/>
    <x v="2"/>
    <n v="109"/>
    <x v="2"/>
    <n v="99137.8"/>
    <n v="99081.87"/>
    <n v="25"/>
    <n v="23"/>
    <n v="31813.87"/>
    <n v="0"/>
    <x v="0"/>
    <x v="0"/>
  </r>
  <r>
    <s v="R00556"/>
    <x v="0"/>
    <n v="96"/>
    <x v="2"/>
    <n v="85587.82"/>
    <n v="60783.040000000001"/>
    <n v="51"/>
    <n v="0"/>
    <n v="35815.870000000003"/>
    <n v="0"/>
    <x v="1"/>
    <x v="0"/>
  </r>
  <r>
    <s v="R00557"/>
    <x v="0"/>
    <n v="43"/>
    <x v="2"/>
    <n v="45574.48"/>
    <n v="35471.74"/>
    <n v="37"/>
    <n v="56"/>
    <n v="27442.42"/>
    <n v="0"/>
    <x v="0"/>
    <x v="0"/>
  </r>
  <r>
    <s v="R00460"/>
    <x v="1"/>
    <n v="14"/>
    <x v="2"/>
    <n v="31240.27"/>
    <n v="18474.72"/>
    <n v="48"/>
    <n v="0"/>
    <n v="50713.82"/>
    <n v="8309.91"/>
    <x v="0"/>
    <x v="0"/>
  </r>
  <r>
    <s v="R00327"/>
    <x v="4"/>
    <n v="16"/>
    <x v="2"/>
    <n v="36523.230000000003"/>
    <n v="27296.98"/>
    <n v="38"/>
    <n v="24"/>
    <n v="21535.23"/>
    <n v="1621.2"/>
    <x v="1"/>
    <x v="0"/>
  </r>
  <r>
    <s v="R00282"/>
    <x v="1"/>
    <n v="47"/>
    <x v="2"/>
    <n v="39450.76"/>
    <n v="31963.54"/>
    <n v="42"/>
    <n v="30"/>
    <n v="24112.18"/>
    <n v="0"/>
    <x v="0"/>
    <x v="0"/>
  </r>
  <r>
    <s v="R00351"/>
    <x v="5"/>
    <n v="117"/>
    <x v="2"/>
    <n v="93841.4"/>
    <n v="88967.66"/>
    <n v="24"/>
    <n v="43"/>
    <n v="28354.3"/>
    <n v="0"/>
    <x v="1"/>
    <x v="0"/>
  </r>
  <r>
    <s v="R00689"/>
    <x v="0"/>
    <n v="59"/>
    <x v="2"/>
    <n v="49988.22"/>
    <n v="49293.91"/>
    <n v="38"/>
    <n v="21"/>
    <n v="67537.95"/>
    <n v="10226.370000000001"/>
    <x v="0"/>
    <x v="0"/>
  </r>
  <r>
    <s v="R00534"/>
    <x v="5"/>
    <n v="102"/>
    <x v="2"/>
    <n v="73822.080000000002"/>
    <n v="65675"/>
    <n v="48"/>
    <n v="16"/>
    <n v="44658.09"/>
    <n v="2662.1"/>
    <x v="0"/>
    <x v="0"/>
  </r>
  <r>
    <s v="R00361"/>
    <x v="3"/>
    <n v="8"/>
    <x v="2"/>
    <n v="9194.09"/>
    <n v="5920.21"/>
    <n v="36"/>
    <n v="40"/>
    <n v="40968.17"/>
    <n v="2998.33"/>
    <x v="0"/>
    <x v="0"/>
  </r>
  <r>
    <s v="R00457"/>
    <x v="1"/>
    <n v="5"/>
    <x v="2"/>
    <n v="9699.11"/>
    <n v="9765.5300000000007"/>
    <n v="16"/>
    <n v="10"/>
    <n v="18939.82"/>
    <n v="9582.01"/>
    <x v="0"/>
    <x v="0"/>
  </r>
  <r>
    <s v="R00680"/>
    <x v="1"/>
    <n v="91"/>
    <x v="2"/>
    <n v="58013.53"/>
    <n v="47752.71"/>
    <n v="37"/>
    <n v="28"/>
    <n v="56531.55"/>
    <n v="0"/>
    <x v="0"/>
    <x v="0"/>
  </r>
  <r>
    <s v="R00563"/>
    <x v="2"/>
    <n v="86"/>
    <x v="2"/>
    <n v="63088.9"/>
    <n v="41697.550000000003"/>
    <n v="45"/>
    <n v="51"/>
    <n v="15334.52"/>
    <n v="4085.76"/>
    <x v="0"/>
    <x v="0"/>
  </r>
  <r>
    <s v="R00731"/>
    <x v="1"/>
    <n v="70"/>
    <x v="2"/>
    <n v="55056.37"/>
    <n v="52036.68"/>
    <n v="13"/>
    <n v="46"/>
    <n v="9815.01"/>
    <n v="0"/>
    <x v="0"/>
    <x v="0"/>
  </r>
  <r>
    <s v="R00597"/>
    <x v="2"/>
    <n v="33"/>
    <x v="2"/>
    <n v="26665.68"/>
    <n v="25502.26"/>
    <n v="25"/>
    <n v="10"/>
    <n v="87600.13"/>
    <n v="4135.38"/>
    <x v="0"/>
    <x v="0"/>
  </r>
  <r>
    <s v="R00502"/>
    <x v="0"/>
    <n v="78"/>
    <x v="2"/>
    <n v="83634.95"/>
    <n v="69159.02"/>
    <n v="10"/>
    <n v="49"/>
    <n v="36853.910000000003"/>
    <n v="1377.81"/>
    <x v="0"/>
    <x v="0"/>
  </r>
  <r>
    <s v="R00626"/>
    <x v="4"/>
    <n v="31"/>
    <x v="2"/>
    <n v="28029.56"/>
    <n v="20281.990000000002"/>
    <n v="36"/>
    <n v="10"/>
    <n v="54646.91"/>
    <n v="0"/>
    <x v="0"/>
    <x v="0"/>
  </r>
  <r>
    <s v="R00616"/>
    <x v="2"/>
    <n v="118"/>
    <x v="2"/>
    <n v="106652.1"/>
    <n v="89313.67"/>
    <n v="60"/>
    <n v="0"/>
    <n v="0"/>
    <n v="822.48"/>
    <x v="0"/>
    <x v="0"/>
  </r>
  <r>
    <s v="R00413"/>
    <x v="2"/>
    <n v="77"/>
    <x v="2"/>
    <n v="72029.36"/>
    <n v="60695.08"/>
    <n v="58"/>
    <n v="38"/>
    <n v="36358.61"/>
    <n v="1494.87"/>
    <x v="1"/>
    <x v="0"/>
  </r>
  <r>
    <s v="R00354"/>
    <x v="2"/>
    <n v="68"/>
    <x v="2"/>
    <n v="55817.34"/>
    <n v="38338.86"/>
    <n v="41"/>
    <n v="29"/>
    <n v="20912.830000000002"/>
    <n v="1705.21"/>
    <x v="0"/>
    <x v="0"/>
  </r>
  <r>
    <s v="R00741"/>
    <x v="2"/>
    <n v="29"/>
    <x v="2"/>
    <n v="28515.72"/>
    <n v="28434.75"/>
    <n v="25"/>
    <n v="24"/>
    <n v="35299.61"/>
    <n v="1336.63"/>
    <x v="0"/>
    <x v="0"/>
  </r>
  <r>
    <s v="R00143"/>
    <x v="2"/>
    <n v="85"/>
    <x v="2"/>
    <n v="65687.78"/>
    <n v="67214.880000000005"/>
    <n v="47"/>
    <n v="15"/>
    <n v="29728.46"/>
    <n v="3813.93"/>
    <x v="0"/>
    <x v="0"/>
  </r>
  <r>
    <s v="R01510"/>
    <x v="3"/>
    <n v="91"/>
    <x v="2"/>
    <n v="82229.210000000006"/>
    <n v="56157.17"/>
    <n v="45"/>
    <n v="32"/>
    <n v="29417.53"/>
    <n v="1614.4"/>
    <x v="0"/>
    <x v="0"/>
  </r>
  <r>
    <s v="R00120"/>
    <x v="4"/>
    <n v="73"/>
    <x v="2"/>
    <n v="51724.14"/>
    <n v="31757.64"/>
    <n v="51"/>
    <n v="25"/>
    <n v="83609.81"/>
    <n v="3887.65"/>
    <x v="0"/>
    <x v="0"/>
  </r>
  <r>
    <s v="R01061"/>
    <x v="0"/>
    <n v="104"/>
    <x v="2"/>
    <n v="62130.6"/>
    <n v="52219.3"/>
    <n v="10"/>
    <n v="40"/>
    <n v="36875.480000000003"/>
    <n v="2508.98"/>
    <x v="0"/>
    <x v="0"/>
  </r>
  <r>
    <s v="R01518"/>
    <x v="2"/>
    <n v="95"/>
    <x v="2"/>
    <n v="103819.55"/>
    <n v="105250.07"/>
    <n v="38"/>
    <n v="29"/>
    <n v="46239.34"/>
    <n v="4390.3999999999996"/>
    <x v="0"/>
    <x v="0"/>
  </r>
  <r>
    <s v="R01089"/>
    <x v="3"/>
    <n v="78"/>
    <x v="2"/>
    <n v="64339.22"/>
    <n v="43346.29"/>
    <n v="50"/>
    <n v="18"/>
    <n v="33542.839999999997"/>
    <n v="17897.97"/>
    <x v="0"/>
    <x v="0"/>
  </r>
  <r>
    <s v="R01508"/>
    <x v="0"/>
    <n v="27"/>
    <x v="2"/>
    <n v="34854.47"/>
    <n v="27890.240000000002"/>
    <n v="43"/>
    <n v="29"/>
    <n v="49107.13"/>
    <n v="0"/>
    <x v="0"/>
    <x v="0"/>
  </r>
  <r>
    <s v="R01486"/>
    <x v="5"/>
    <n v="120"/>
    <x v="2"/>
    <n v="110249.34"/>
    <n v="71949.100000000006"/>
    <n v="57"/>
    <n v="42"/>
    <n v="31009.360000000001"/>
    <n v="0"/>
    <x v="0"/>
    <x v="0"/>
  </r>
  <r>
    <s v="R01097"/>
    <x v="0"/>
    <n v="15"/>
    <x v="2"/>
    <n v="15354.37"/>
    <n v="9033.98"/>
    <n v="52"/>
    <n v="0"/>
    <n v="21294.54"/>
    <n v="4216.05"/>
    <x v="0"/>
    <x v="0"/>
  </r>
  <r>
    <s v="R01100"/>
    <x v="4"/>
    <n v="119"/>
    <x v="2"/>
    <n v="91957.53"/>
    <n v="67719.47"/>
    <n v="20"/>
    <n v="54"/>
    <n v="36656.75"/>
    <n v="6848.75"/>
    <x v="1"/>
    <x v="0"/>
  </r>
  <r>
    <s v="R01113"/>
    <x v="1"/>
    <n v="78"/>
    <x v="2"/>
    <n v="63958.97"/>
    <n v="52674.879999999997"/>
    <n v="49"/>
    <n v="56"/>
    <n v="30096.3"/>
    <n v="11295.84"/>
    <x v="0"/>
    <x v="0"/>
  </r>
  <r>
    <s v="R01115"/>
    <x v="3"/>
    <n v="17"/>
    <x v="2"/>
    <n v="31270.5"/>
    <n v="24072.43"/>
    <n v="27"/>
    <n v="0"/>
    <n v="23339.72"/>
    <n v="0"/>
    <x v="0"/>
    <x v="0"/>
  </r>
  <r>
    <s v="R01133"/>
    <x v="3"/>
    <n v="13"/>
    <x v="2"/>
    <n v="39613.519999999997"/>
    <n v="30350.6"/>
    <n v="42"/>
    <n v="42"/>
    <n v="2376"/>
    <n v="9246.34"/>
    <x v="1"/>
    <x v="0"/>
  </r>
  <r>
    <s v="R01159"/>
    <x v="3"/>
    <n v="3"/>
    <x v="2"/>
    <n v="4000"/>
    <n v="4073.4"/>
    <n v="24"/>
    <n v="26"/>
    <n v="9928.32"/>
    <n v="12464.3"/>
    <x v="0"/>
    <x v="0"/>
  </r>
  <r>
    <s v="R00122"/>
    <x v="5"/>
    <n v="70"/>
    <x v="2"/>
    <n v="67566.7"/>
    <n v="55131.9"/>
    <n v="30"/>
    <n v="43"/>
    <n v="42405.35"/>
    <n v="11780.48"/>
    <x v="0"/>
    <x v="0"/>
  </r>
  <r>
    <s v="R00748"/>
    <x v="1"/>
    <n v="31"/>
    <x v="2"/>
    <n v="30369.24"/>
    <n v="27907.74"/>
    <n v="17"/>
    <n v="20"/>
    <n v="13087.59"/>
    <n v="1578.32"/>
    <x v="0"/>
    <x v="0"/>
  </r>
  <r>
    <s v="R01447"/>
    <x v="4"/>
    <n v="68"/>
    <x v="2"/>
    <n v="58079.5"/>
    <n v="58226.22"/>
    <n v="38"/>
    <n v="14"/>
    <n v="37522.9"/>
    <n v="7055.58"/>
    <x v="0"/>
    <x v="0"/>
  </r>
  <r>
    <s v="R01189"/>
    <x v="0"/>
    <n v="104"/>
    <x v="2"/>
    <n v="103263.15"/>
    <n v="106655.1"/>
    <n v="44"/>
    <n v="23"/>
    <n v="13191.89"/>
    <n v="4167.53"/>
    <x v="0"/>
    <x v="0"/>
  </r>
  <r>
    <s v="R01194"/>
    <x v="2"/>
    <n v="119"/>
    <x v="2"/>
    <n v="104675.74"/>
    <n v="61345.2"/>
    <n v="52"/>
    <n v="55"/>
    <n v="48302.83"/>
    <n v="7008.23"/>
    <x v="0"/>
    <x v="0"/>
  </r>
  <r>
    <s v="R01197"/>
    <x v="4"/>
    <n v="27"/>
    <x v="2"/>
    <n v="25097.66"/>
    <n v="18231.28"/>
    <n v="41"/>
    <n v="14"/>
    <n v="24647.439999999999"/>
    <n v="191.08"/>
    <x v="0"/>
    <x v="0"/>
  </r>
  <r>
    <s v="R00082"/>
    <x v="0"/>
    <n v="53"/>
    <x v="2"/>
    <n v="48183.77"/>
    <n v="35316.51"/>
    <n v="41"/>
    <n v="60"/>
    <n v="34776.639999999999"/>
    <n v="2652.32"/>
    <x v="0"/>
    <x v="0"/>
  </r>
  <r>
    <s v="R01199"/>
    <x v="0"/>
    <n v="5"/>
    <x v="2"/>
    <n v="4000"/>
    <n v="2500"/>
    <n v="33"/>
    <n v="41"/>
    <n v="22526.45"/>
    <n v="0"/>
    <x v="0"/>
    <x v="0"/>
  </r>
  <r>
    <s v="R01207"/>
    <x v="0"/>
    <n v="73"/>
    <x v="2"/>
    <n v="57119.69"/>
    <n v="36428.239999999998"/>
    <n v="39"/>
    <n v="7"/>
    <n v="36096.43"/>
    <n v="5028.87"/>
    <x v="0"/>
    <x v="0"/>
  </r>
  <r>
    <s v="R01214"/>
    <x v="4"/>
    <n v="57"/>
    <x v="2"/>
    <n v="46045.95"/>
    <n v="47623.09"/>
    <n v="33"/>
    <n v="63"/>
    <n v="18336.02"/>
    <n v="7292.39"/>
    <x v="0"/>
    <x v="0"/>
  </r>
  <r>
    <s v="R01440"/>
    <x v="5"/>
    <n v="34"/>
    <x v="2"/>
    <n v="44432.33"/>
    <n v="30294.89"/>
    <n v="37"/>
    <n v="25"/>
    <n v="51957.15"/>
    <n v="2898"/>
    <x v="0"/>
    <x v="0"/>
  </r>
  <r>
    <s v="R01429"/>
    <x v="2"/>
    <n v="39"/>
    <x v="2"/>
    <n v="37071.870000000003"/>
    <n v="25299.84"/>
    <n v="24"/>
    <n v="59"/>
    <n v="15681.56"/>
    <n v="3385.49"/>
    <x v="0"/>
    <x v="0"/>
  </r>
  <r>
    <s v="R01258"/>
    <x v="5"/>
    <n v="47"/>
    <x v="2"/>
    <n v="34555.760000000002"/>
    <n v="23335.01"/>
    <n v="54"/>
    <n v="36"/>
    <n v="10217.44"/>
    <n v="0"/>
    <x v="0"/>
    <x v="0"/>
  </r>
  <r>
    <s v="R01321"/>
    <x v="1"/>
    <n v="27"/>
    <x v="2"/>
    <n v="49482.61"/>
    <n v="51823.31"/>
    <n v="34"/>
    <n v="0"/>
    <n v="31068.06"/>
    <n v="2889.68"/>
    <x v="0"/>
    <x v="0"/>
  </r>
  <r>
    <s v="R00091"/>
    <x v="3"/>
    <n v="51"/>
    <x v="2"/>
    <n v="52711.64"/>
    <n v="54681.86"/>
    <n v="34"/>
    <n v="6"/>
    <n v="55210"/>
    <n v="12357.01"/>
    <x v="0"/>
    <x v="0"/>
  </r>
  <r>
    <s v="R01040"/>
    <x v="3"/>
    <n v="81"/>
    <x v="2"/>
    <n v="69389.52"/>
    <n v="55057.19"/>
    <n v="48"/>
    <n v="44"/>
    <n v="28878.720000000001"/>
    <n v="3319.85"/>
    <x v="0"/>
    <x v="0"/>
  </r>
  <r>
    <s v="R01357"/>
    <x v="1"/>
    <n v="70"/>
    <x v="2"/>
    <n v="65919.53"/>
    <n v="63421.06"/>
    <n v="56"/>
    <n v="0"/>
    <n v="42678.19"/>
    <n v="1990.52"/>
    <x v="0"/>
    <x v="0"/>
  </r>
  <r>
    <s v="R01002"/>
    <x v="4"/>
    <n v="38"/>
    <x v="2"/>
    <n v="29586.33"/>
    <n v="22879.439999999999"/>
    <n v="31"/>
    <n v="28"/>
    <n v="59617.54"/>
    <n v="4252.55"/>
    <x v="0"/>
    <x v="0"/>
  </r>
  <r>
    <s v="R00876"/>
    <x v="2"/>
    <n v="84"/>
    <x v="2"/>
    <n v="73366.97"/>
    <n v="70849.259999999995"/>
    <n v="36"/>
    <n v="4"/>
    <n v="60082.37"/>
    <n v="5442.16"/>
    <x v="0"/>
    <x v="0"/>
  </r>
  <r>
    <s v="R01569"/>
    <x v="2"/>
    <n v="10"/>
    <x v="2"/>
    <n v="23884.94"/>
    <n v="15088.28"/>
    <n v="18"/>
    <n v="38"/>
    <n v="38106.49"/>
    <n v="3242.33"/>
    <x v="0"/>
    <x v="0"/>
  </r>
  <r>
    <s v="R00862"/>
    <x v="1"/>
    <n v="43"/>
    <x v="2"/>
    <n v="40260.06"/>
    <n v="36590.15"/>
    <n v="36"/>
    <n v="46"/>
    <n v="54658.98"/>
    <n v="0"/>
    <x v="0"/>
    <x v="0"/>
  </r>
  <r>
    <s v="R00891"/>
    <x v="3"/>
    <n v="36"/>
    <x v="2"/>
    <n v="46671.86"/>
    <n v="29832.81"/>
    <n v="42"/>
    <n v="33"/>
    <n v="0"/>
    <n v="7051.52"/>
    <x v="0"/>
    <x v="0"/>
  </r>
  <r>
    <s v="R01594"/>
    <x v="4"/>
    <n v="119"/>
    <x v="2"/>
    <n v="96963.31"/>
    <n v="86238.33"/>
    <n v="30"/>
    <n v="21"/>
    <n v="38305.01"/>
    <n v="0"/>
    <x v="1"/>
    <x v="0"/>
  </r>
  <r>
    <s v="R01029"/>
    <x v="2"/>
    <n v="46"/>
    <x v="2"/>
    <n v="44271.77"/>
    <n v="32471.66"/>
    <n v="58"/>
    <n v="34"/>
    <n v="24589.34"/>
    <n v="2070.2199999999998"/>
    <x v="0"/>
    <x v="0"/>
  </r>
  <r>
    <s v="R00173"/>
    <x v="4"/>
    <n v="24"/>
    <x v="2"/>
    <n v="27826.49"/>
    <n v="22853.72"/>
    <n v="43"/>
    <n v="38"/>
    <n v="19320.88"/>
    <n v="0"/>
    <x v="0"/>
    <x v="0"/>
  </r>
  <r>
    <s v="R00781"/>
    <x v="2"/>
    <n v="58"/>
    <x v="2"/>
    <n v="51359.15"/>
    <n v="39427.019999999997"/>
    <n v="47"/>
    <n v="11"/>
    <n v="16627.169999999998"/>
    <n v="10929.76"/>
    <x v="0"/>
    <x v="0"/>
  </r>
  <r>
    <s v="R01539"/>
    <x v="2"/>
    <n v="100"/>
    <x v="2"/>
    <n v="102489.96"/>
    <n v="80958.320000000007"/>
    <n v="52"/>
    <n v="30"/>
    <n v="21087.08"/>
    <n v="12382.5"/>
    <x v="1"/>
    <x v="0"/>
  </r>
  <r>
    <s v="R00755"/>
    <x v="4"/>
    <n v="3"/>
    <x v="2"/>
    <n v="10775.04"/>
    <n v="7645.72"/>
    <n v="14"/>
    <n v="21"/>
    <n v="30887.13"/>
    <n v="0"/>
    <x v="0"/>
    <x v="0"/>
  </r>
  <r>
    <s v="R01585"/>
    <x v="3"/>
    <n v="100"/>
    <x v="2"/>
    <n v="95668.77"/>
    <n v="63150.79"/>
    <n v="47"/>
    <n v="52"/>
    <n v="67624.710000000006"/>
    <n v="6642.92"/>
    <x v="1"/>
    <x v="0"/>
  </r>
  <r>
    <s v="R00157"/>
    <x v="2"/>
    <n v="64"/>
    <x v="2"/>
    <n v="47758.74"/>
    <n v="34842.21"/>
    <n v="20"/>
    <n v="19"/>
    <n v="52167.81"/>
    <n v="703.86"/>
    <x v="0"/>
    <x v="0"/>
  </r>
  <r>
    <s v="R00153"/>
    <x v="2"/>
    <n v="9"/>
    <x v="2"/>
    <n v="24838.66"/>
    <n v="19133.650000000001"/>
    <n v="24"/>
    <n v="20"/>
    <n v="27542.82"/>
    <n v="1929.58"/>
    <x v="0"/>
    <x v="0"/>
  </r>
  <r>
    <s v="R00151"/>
    <x v="5"/>
    <n v="45"/>
    <x v="2"/>
    <n v="49340.5"/>
    <n v="43353.53"/>
    <n v="52"/>
    <n v="26"/>
    <n v="55758.46"/>
    <n v="0"/>
    <x v="1"/>
    <x v="0"/>
  </r>
  <r>
    <s v="R00936"/>
    <x v="5"/>
    <n v="5"/>
    <x v="2"/>
    <n v="7792.06"/>
    <n v="5153.6400000000003"/>
    <n v="29"/>
    <n v="22"/>
    <n v="76074.509999999995"/>
    <n v="682.24"/>
    <x v="0"/>
    <x v="0"/>
  </r>
  <r>
    <s v="R00940"/>
    <x v="3"/>
    <n v="14"/>
    <x v="2"/>
    <n v="18986.21"/>
    <n v="18078.8"/>
    <n v="41"/>
    <n v="0"/>
    <n v="28972.73"/>
    <n v="6399.28"/>
    <x v="0"/>
    <x v="0"/>
  </r>
  <r>
    <s v="R00315"/>
    <x v="0"/>
    <n v="48"/>
    <x v="2"/>
    <n v="31388.65"/>
    <n v="22690.47"/>
    <n v="42"/>
    <n v="33"/>
    <n v="6599.95"/>
    <n v="850.87"/>
    <x v="0"/>
    <x v="0"/>
  </r>
  <r>
    <s v="R00955"/>
    <x v="5"/>
    <n v="90"/>
    <x v="2"/>
    <n v="69908.649999999994"/>
    <n v="41249.32"/>
    <n v="30"/>
    <n v="1"/>
    <n v="61684.23"/>
    <n v="5894.43"/>
    <x v="0"/>
    <x v="0"/>
  </r>
  <r>
    <s v="R00972"/>
    <x v="1"/>
    <n v="106"/>
    <x v="2"/>
    <n v="96544.53"/>
    <n v="78791.16"/>
    <n v="10"/>
    <n v="4"/>
    <n v="14063.69"/>
    <n v="0"/>
    <x v="0"/>
    <x v="0"/>
  </r>
  <r>
    <s v="R00156"/>
    <x v="3"/>
    <n v="14"/>
    <x v="2"/>
    <n v="29351.08"/>
    <n v="19982.32"/>
    <n v="55"/>
    <n v="37"/>
    <n v="65259.68"/>
    <n v="5617.72"/>
    <x v="0"/>
    <x v="0"/>
  </r>
  <r>
    <s v="R01592"/>
    <x v="5"/>
    <n v="105"/>
    <x v="2"/>
    <n v="78572.460000000006"/>
    <n v="73756.929999999993"/>
    <n v="35"/>
    <n v="14"/>
    <n v="19481.13"/>
    <n v="0"/>
    <x v="0"/>
    <x v="0"/>
  </r>
  <r>
    <s v="R01419"/>
    <x v="3"/>
    <n v="31"/>
    <x v="3"/>
    <n v="38593.300000000003"/>
    <n v="26679.3"/>
    <n v="28"/>
    <n v="53"/>
    <n v="45840.12"/>
    <n v="6527.53"/>
    <x v="0"/>
    <x v="0"/>
  </r>
  <r>
    <s v="R01427"/>
    <x v="4"/>
    <n v="29"/>
    <x v="3"/>
    <n v="41908.36"/>
    <n v="30266.89"/>
    <n v="38"/>
    <n v="13"/>
    <n v="41449.17"/>
    <n v="0"/>
    <x v="0"/>
    <x v="0"/>
  </r>
  <r>
    <s v="R00325"/>
    <x v="4"/>
    <n v="82"/>
    <x v="3"/>
    <n v="83813.929999999993"/>
    <n v="79283.11"/>
    <n v="46"/>
    <n v="17"/>
    <n v="13528.68"/>
    <n v="5386.34"/>
    <x v="0"/>
    <x v="0"/>
  </r>
  <r>
    <s v="R00326"/>
    <x v="4"/>
    <n v="103"/>
    <x v="3"/>
    <n v="65555.679999999993"/>
    <n v="63873.45"/>
    <n v="10"/>
    <n v="29"/>
    <n v="32655.43"/>
    <n v="0"/>
    <x v="0"/>
    <x v="0"/>
  </r>
  <r>
    <s v="R01404"/>
    <x v="4"/>
    <n v="40"/>
    <x v="3"/>
    <n v="42436.81"/>
    <n v="31664.799999999999"/>
    <n v="25"/>
    <n v="8"/>
    <n v="45122.53"/>
    <n v="7449.6"/>
    <x v="1"/>
    <x v="0"/>
  </r>
  <r>
    <s v="R01402"/>
    <x v="0"/>
    <n v="4"/>
    <x v="3"/>
    <n v="4000"/>
    <n v="2603.0500000000002"/>
    <n v="39"/>
    <n v="8"/>
    <n v="0"/>
    <n v="11062.16"/>
    <x v="0"/>
    <x v="0"/>
  </r>
  <r>
    <s v="R00408"/>
    <x v="0"/>
    <n v="58"/>
    <x v="3"/>
    <n v="55611.76"/>
    <n v="45668.35"/>
    <n v="28"/>
    <n v="0"/>
    <n v="32014.99"/>
    <n v="2428.52"/>
    <x v="0"/>
    <x v="0"/>
  </r>
  <r>
    <s v="R01566"/>
    <x v="0"/>
    <n v="117"/>
    <x v="3"/>
    <n v="89217.89"/>
    <n v="73338.289999999994"/>
    <n v="48"/>
    <n v="55"/>
    <n v="47451.32"/>
    <n v="9056.85"/>
    <x v="0"/>
    <x v="0"/>
  </r>
  <r>
    <s v="R01454"/>
    <x v="2"/>
    <n v="109"/>
    <x v="3"/>
    <n v="73056.639999999999"/>
    <n v="55233.279999999999"/>
    <n v="27"/>
    <n v="23"/>
    <n v="4297.0200000000004"/>
    <n v="241.83"/>
    <x v="0"/>
    <x v="0"/>
  </r>
  <r>
    <s v="R01464"/>
    <x v="1"/>
    <n v="14"/>
    <x v="3"/>
    <n v="18271.669999999998"/>
    <n v="14353.07"/>
    <n v="49"/>
    <n v="26"/>
    <n v="72917.710000000006"/>
    <n v="4293.76"/>
    <x v="0"/>
    <x v="0"/>
  </r>
  <r>
    <s v="R01471"/>
    <x v="3"/>
    <n v="23"/>
    <x v="3"/>
    <n v="17205.259999999998"/>
    <n v="14382.52"/>
    <n v="33"/>
    <n v="52"/>
    <n v="24611.97"/>
    <n v="3657.55"/>
    <x v="0"/>
    <x v="0"/>
  </r>
  <r>
    <s v="R01560"/>
    <x v="3"/>
    <n v="102"/>
    <x v="3"/>
    <n v="80756.95"/>
    <n v="77732.429999999993"/>
    <n v="15"/>
    <n v="74"/>
    <n v="46210.66"/>
    <n v="7594.08"/>
    <x v="1"/>
    <x v="0"/>
  </r>
  <r>
    <s v="R00395"/>
    <x v="1"/>
    <n v="74"/>
    <x v="3"/>
    <n v="74742.039999999994"/>
    <n v="46565.279999999999"/>
    <n v="51"/>
    <n v="47"/>
    <n v="30752.33"/>
    <n v="3435.93"/>
    <x v="0"/>
    <x v="0"/>
  </r>
  <r>
    <s v="R01478"/>
    <x v="3"/>
    <n v="67"/>
    <x v="3"/>
    <n v="56386.39"/>
    <n v="33852.29"/>
    <n v="44"/>
    <n v="0"/>
    <n v="68745.5"/>
    <n v="1354.84"/>
    <x v="0"/>
    <x v="0"/>
  </r>
  <r>
    <s v="R00357"/>
    <x v="4"/>
    <n v="110"/>
    <x v="3"/>
    <n v="80534.759999999995"/>
    <n v="64214.35"/>
    <n v="33"/>
    <n v="2"/>
    <n v="55151.61"/>
    <n v="4060.05"/>
    <x v="0"/>
    <x v="0"/>
  </r>
  <r>
    <s v="R01507"/>
    <x v="4"/>
    <n v="95"/>
    <x v="3"/>
    <n v="81753.27"/>
    <n v="64530.11"/>
    <n v="38"/>
    <n v="17"/>
    <n v="53543.45"/>
    <n v="0"/>
    <x v="0"/>
    <x v="0"/>
  </r>
  <r>
    <s v="R01376"/>
    <x v="0"/>
    <n v="119"/>
    <x v="3"/>
    <n v="85435.29"/>
    <n v="80330.28"/>
    <n v="45"/>
    <n v="19"/>
    <n v="33020.22"/>
    <n v="5602.87"/>
    <x v="0"/>
    <x v="0"/>
  </r>
  <r>
    <s v="R01533"/>
    <x v="0"/>
    <n v="79"/>
    <x v="3"/>
    <n v="76873.39"/>
    <n v="46897.8"/>
    <n v="66"/>
    <n v="36"/>
    <n v="42613.62"/>
    <n v="0"/>
    <x v="0"/>
    <x v="0"/>
  </r>
  <r>
    <s v="R01578"/>
    <x v="1"/>
    <n v="87"/>
    <x v="3"/>
    <n v="63964.14"/>
    <n v="56469.34"/>
    <n v="14"/>
    <n v="34"/>
    <n v="15037.21"/>
    <n v="0"/>
    <x v="0"/>
    <x v="0"/>
  </r>
  <r>
    <s v="R00753"/>
    <x v="3"/>
    <n v="14"/>
    <x v="3"/>
    <n v="7229.74"/>
    <n v="6569.45"/>
    <n v="38"/>
    <n v="62"/>
    <n v="72135.19"/>
    <n v="277.26"/>
    <x v="0"/>
    <x v="0"/>
  </r>
  <r>
    <s v="R01170"/>
    <x v="3"/>
    <n v="21"/>
    <x v="3"/>
    <n v="26383.49"/>
    <n v="21857.54"/>
    <n v="44"/>
    <n v="7"/>
    <n v="72252.33"/>
    <n v="8621.93"/>
    <x v="0"/>
    <x v="0"/>
  </r>
  <r>
    <s v="R00464"/>
    <x v="1"/>
    <n v="40"/>
    <x v="3"/>
    <n v="35217.25"/>
    <n v="27138.880000000001"/>
    <n v="10"/>
    <n v="26"/>
    <n v="5536.36"/>
    <n v="730.31"/>
    <x v="0"/>
    <x v="0"/>
  </r>
  <r>
    <s v="R00724"/>
    <x v="4"/>
    <n v="67"/>
    <x v="3"/>
    <n v="58556.67"/>
    <n v="40222.660000000003"/>
    <n v="59"/>
    <n v="48"/>
    <n v="58850.98"/>
    <n v="10977.17"/>
    <x v="1"/>
    <x v="0"/>
  </r>
  <r>
    <s v="R00812"/>
    <x v="1"/>
    <n v="11"/>
    <x v="3"/>
    <n v="15146.68"/>
    <n v="9140.7800000000007"/>
    <n v="64"/>
    <n v="33"/>
    <n v="66762.460000000006"/>
    <n v="11201.97"/>
    <x v="0"/>
    <x v="0"/>
  </r>
  <r>
    <s v="R00695"/>
    <x v="5"/>
    <n v="11"/>
    <x v="3"/>
    <n v="28956.58"/>
    <n v="28442.47"/>
    <n v="66"/>
    <n v="42"/>
    <n v="35762.230000000003"/>
    <n v="0"/>
    <x v="0"/>
    <x v="0"/>
  </r>
  <r>
    <s v="R00884"/>
    <x v="3"/>
    <n v="35"/>
    <x v="3"/>
    <n v="35395.74"/>
    <n v="20689.689999999999"/>
    <n v="31"/>
    <n v="24"/>
    <n v="44588.51"/>
    <n v="8068.39"/>
    <x v="0"/>
    <x v="0"/>
  </r>
  <r>
    <s v="R00672"/>
    <x v="5"/>
    <n v="75"/>
    <x v="3"/>
    <n v="40384.83"/>
    <n v="34282"/>
    <n v="10"/>
    <n v="19"/>
    <n v="84806.9"/>
    <n v="12431.35"/>
    <x v="0"/>
    <x v="0"/>
  </r>
  <r>
    <s v="R00668"/>
    <x v="4"/>
    <n v="68"/>
    <x v="3"/>
    <n v="61514.57"/>
    <n v="59198.879999999997"/>
    <n v="34"/>
    <n v="47"/>
    <n v="78095.19"/>
    <n v="0"/>
    <x v="0"/>
    <x v="0"/>
  </r>
  <r>
    <s v="R00661"/>
    <x v="4"/>
    <n v="115"/>
    <x v="3"/>
    <n v="104223.54"/>
    <n v="81613.95"/>
    <n v="31"/>
    <n v="16"/>
    <n v="44057.9"/>
    <n v="1660.28"/>
    <x v="0"/>
    <x v="0"/>
  </r>
  <r>
    <s v="R00649"/>
    <x v="0"/>
    <n v="36"/>
    <x v="3"/>
    <n v="55472.87"/>
    <n v="47139.97"/>
    <n v="48"/>
    <n v="28"/>
    <n v="12849.33"/>
    <n v="5065.54"/>
    <x v="0"/>
    <x v="0"/>
  </r>
  <r>
    <s v="R00892"/>
    <x v="0"/>
    <n v="60"/>
    <x v="3"/>
    <n v="57302.35"/>
    <n v="45968.08"/>
    <n v="46"/>
    <n v="20"/>
    <n v="40232.85"/>
    <n v="6790.25"/>
    <x v="0"/>
    <x v="0"/>
  </r>
  <r>
    <s v="R00895"/>
    <x v="5"/>
    <n v="118"/>
    <x v="3"/>
    <n v="86059.49"/>
    <n v="86099.78"/>
    <n v="42"/>
    <n v="44"/>
    <n v="46933.06"/>
    <n v="0"/>
    <x v="0"/>
    <x v="0"/>
  </r>
  <r>
    <s v="R00919"/>
    <x v="0"/>
    <n v="17"/>
    <x v="3"/>
    <n v="22966.61"/>
    <n v="17728.91"/>
    <n v="66"/>
    <n v="27"/>
    <n v="32509.25"/>
    <n v="7058.22"/>
    <x v="1"/>
    <x v="0"/>
  </r>
  <r>
    <s v="R00949"/>
    <x v="4"/>
    <n v="87"/>
    <x v="3"/>
    <n v="61965.82"/>
    <n v="50568.18"/>
    <n v="25"/>
    <n v="32"/>
    <n v="34566.75"/>
    <n v="3170.82"/>
    <x v="0"/>
    <x v="0"/>
  </r>
  <r>
    <s v="R01065"/>
    <x v="4"/>
    <n v="106"/>
    <x v="3"/>
    <n v="81722.59"/>
    <n v="73826.460000000006"/>
    <n v="52"/>
    <n v="0"/>
    <n v="49560.21"/>
    <n v="175.65"/>
    <x v="0"/>
    <x v="0"/>
  </r>
  <r>
    <s v="R01088"/>
    <x v="1"/>
    <n v="24"/>
    <x v="3"/>
    <n v="38196.93"/>
    <n v="33490.61"/>
    <n v="42"/>
    <n v="17"/>
    <n v="67375.31"/>
    <n v="7308.8"/>
    <x v="0"/>
    <x v="0"/>
  </r>
  <r>
    <s v="R01095"/>
    <x v="0"/>
    <n v="40"/>
    <x v="3"/>
    <n v="29447.95"/>
    <n v="17559.509999999998"/>
    <n v="33"/>
    <n v="43"/>
    <n v="6995.62"/>
    <n v="6412.38"/>
    <x v="0"/>
    <x v="0"/>
  </r>
  <r>
    <s v="R01096"/>
    <x v="2"/>
    <n v="75"/>
    <x v="3"/>
    <n v="60958.080000000002"/>
    <n v="61771.26"/>
    <n v="31"/>
    <n v="35"/>
    <n v="39198.74"/>
    <n v="0"/>
    <x v="0"/>
    <x v="0"/>
  </r>
  <r>
    <s v="R00566"/>
    <x v="2"/>
    <n v="97"/>
    <x v="3"/>
    <n v="80163.39"/>
    <n v="60875.28"/>
    <n v="35"/>
    <n v="65"/>
    <n v="23512.880000000001"/>
    <n v="10257.81"/>
    <x v="0"/>
    <x v="0"/>
  </r>
  <r>
    <s v="R00554"/>
    <x v="4"/>
    <n v="46"/>
    <x v="3"/>
    <n v="50421.62"/>
    <n v="34834.97"/>
    <n v="34"/>
    <n v="17"/>
    <n v="31845.81"/>
    <n v="0"/>
    <x v="0"/>
    <x v="0"/>
  </r>
  <r>
    <s v="R00538"/>
    <x v="1"/>
    <n v="59"/>
    <x v="3"/>
    <n v="58745.5"/>
    <n v="39147.760000000002"/>
    <n v="68"/>
    <n v="20"/>
    <n v="42065.26"/>
    <n v="0"/>
    <x v="0"/>
    <x v="0"/>
  </r>
  <r>
    <s v="R00525"/>
    <x v="1"/>
    <n v="12"/>
    <x v="3"/>
    <n v="19494.23"/>
    <n v="19771.07"/>
    <n v="40"/>
    <n v="54"/>
    <n v="41996.07"/>
    <n v="2905.26"/>
    <x v="0"/>
    <x v="0"/>
  </r>
  <r>
    <s v="R01162"/>
    <x v="2"/>
    <n v="66"/>
    <x v="3"/>
    <n v="54041.93"/>
    <n v="37123.870000000003"/>
    <n v="56"/>
    <n v="30"/>
    <n v="21346.98"/>
    <n v="0"/>
    <x v="0"/>
    <x v="0"/>
  </r>
  <r>
    <s v="R00513"/>
    <x v="3"/>
    <n v="27"/>
    <x v="3"/>
    <n v="24608.400000000001"/>
    <n v="14852.96"/>
    <n v="30"/>
    <n v="38"/>
    <n v="34530.730000000003"/>
    <n v="0"/>
    <x v="0"/>
    <x v="0"/>
  </r>
  <r>
    <s v="R00507"/>
    <x v="5"/>
    <n v="13"/>
    <x v="3"/>
    <n v="5134.38"/>
    <n v="5138.67"/>
    <n v="10"/>
    <n v="36"/>
    <n v="46622.37"/>
    <n v="3370.17"/>
    <x v="0"/>
    <x v="0"/>
  </r>
  <r>
    <s v="R01188"/>
    <x v="0"/>
    <n v="20"/>
    <x v="3"/>
    <n v="31164.1"/>
    <n v="20072.82"/>
    <n v="56"/>
    <n v="47"/>
    <n v="47129.919999999998"/>
    <n v="0"/>
    <x v="0"/>
    <x v="0"/>
  </r>
  <r>
    <s v="R01231"/>
    <x v="0"/>
    <n v="109"/>
    <x v="3"/>
    <n v="88248.45"/>
    <n v="64872.11"/>
    <n v="23"/>
    <n v="17"/>
    <n v="39778.1"/>
    <n v="7624.4"/>
    <x v="0"/>
    <x v="0"/>
  </r>
  <r>
    <s v="R01248"/>
    <x v="4"/>
    <n v="84"/>
    <x v="3"/>
    <n v="67281.210000000006"/>
    <n v="67529.31"/>
    <n v="10"/>
    <n v="33"/>
    <n v="33881.29"/>
    <n v="0"/>
    <x v="0"/>
    <x v="0"/>
  </r>
  <r>
    <s v="R01254"/>
    <x v="0"/>
    <n v="46"/>
    <x v="3"/>
    <n v="35428.449999999997"/>
    <n v="20815.89"/>
    <n v="42"/>
    <n v="27"/>
    <n v="9932.4"/>
    <n v="3691.82"/>
    <x v="0"/>
    <x v="0"/>
  </r>
  <r>
    <s v="R01286"/>
    <x v="4"/>
    <n v="13"/>
    <x v="3"/>
    <n v="21020.18"/>
    <n v="13285.81"/>
    <n v="47"/>
    <n v="26"/>
    <n v="36641.83"/>
    <n v="0"/>
    <x v="1"/>
    <x v="0"/>
  </r>
  <r>
    <s v="R01340"/>
    <x v="3"/>
    <n v="106"/>
    <x v="3"/>
    <n v="91614.28"/>
    <n v="57115.87"/>
    <n v="35"/>
    <n v="13"/>
    <n v="14404.31"/>
    <n v="5000.84"/>
    <x v="0"/>
    <x v="0"/>
  </r>
  <r>
    <s v="R01346"/>
    <x v="1"/>
    <n v="104"/>
    <x v="3"/>
    <n v="89956.51"/>
    <n v="71678.759999999995"/>
    <n v="38"/>
    <n v="25"/>
    <n v="62812.76"/>
    <n v="4210.55"/>
    <x v="0"/>
    <x v="0"/>
  </r>
  <r>
    <s v="R00294"/>
    <x v="0"/>
    <n v="15"/>
    <x v="3"/>
    <n v="21892.57"/>
    <n v="20252.349999999999"/>
    <n v="37"/>
    <n v="61"/>
    <n v="46167.13"/>
    <n v="0"/>
    <x v="0"/>
    <x v="0"/>
  </r>
  <r>
    <s v="R01600"/>
    <x v="1"/>
    <n v="77"/>
    <x v="3"/>
    <n v="58047.03"/>
    <n v="33696.29"/>
    <n v="47"/>
    <n v="55"/>
    <n v="57911.82"/>
    <n v="4973.26"/>
    <x v="0"/>
    <x v="0"/>
  </r>
  <r>
    <s v="R00062"/>
    <x v="5"/>
    <n v="114"/>
    <x v="3"/>
    <n v="93054.35"/>
    <n v="81238.509999999995"/>
    <n v="46"/>
    <n v="17"/>
    <n v="48597.74"/>
    <n v="1795.55"/>
    <x v="0"/>
    <x v="0"/>
  </r>
  <r>
    <s v="R00011"/>
    <x v="0"/>
    <n v="64"/>
    <x v="3"/>
    <n v="52210.01"/>
    <n v="40645.94"/>
    <n v="51"/>
    <n v="18"/>
    <n v="39811.56"/>
    <n v="1302.44"/>
    <x v="0"/>
    <x v="0"/>
  </r>
  <r>
    <s v="R00117"/>
    <x v="0"/>
    <n v="80"/>
    <x v="3"/>
    <n v="68913.53"/>
    <n v="53632.78"/>
    <n v="10"/>
    <n v="0"/>
    <n v="32953.03"/>
    <n v="3759.06"/>
    <x v="0"/>
    <x v="0"/>
  </r>
  <r>
    <s v="R00075"/>
    <x v="3"/>
    <n v="46"/>
    <x v="3"/>
    <n v="46864.08"/>
    <n v="47044.68"/>
    <n v="56"/>
    <n v="28"/>
    <n v="34905.61"/>
    <n v="6108.83"/>
    <x v="0"/>
    <x v="0"/>
  </r>
  <r>
    <s v="R00211"/>
    <x v="3"/>
    <n v="73"/>
    <x v="3"/>
    <n v="60242.34"/>
    <n v="39531.42"/>
    <n v="33"/>
    <n v="34"/>
    <n v="0"/>
    <n v="0"/>
    <x v="0"/>
    <x v="0"/>
  </r>
  <r>
    <s v="R00164"/>
    <x v="4"/>
    <n v="31"/>
    <x v="3"/>
    <n v="56525.4"/>
    <n v="56319.82"/>
    <n v="28"/>
    <n v="17"/>
    <n v="33795.65"/>
    <n v="6061.03"/>
    <x v="0"/>
    <x v="0"/>
  </r>
  <r>
    <s v="R00058"/>
    <x v="4"/>
    <n v="6"/>
    <x v="3"/>
    <n v="4000"/>
    <n v="3399.88"/>
    <n v="47"/>
    <n v="0"/>
    <n v="28848.04"/>
    <n v="560.22"/>
    <x v="0"/>
    <x v="0"/>
  </r>
  <r>
    <s v="R00260"/>
    <x v="0"/>
    <n v="116"/>
    <x v="3"/>
    <n v="98185.23"/>
    <n v="73533.259999999995"/>
    <n v="48"/>
    <n v="0"/>
    <n v="6372.81"/>
    <n v="2683.56"/>
    <x v="1"/>
    <x v="0"/>
  </r>
  <r>
    <s v="R00044"/>
    <x v="4"/>
    <n v="56"/>
    <x v="3"/>
    <n v="60950.44"/>
    <n v="60916.12"/>
    <n v="20"/>
    <n v="50"/>
    <n v="74265.429999999993"/>
    <n v="569.16999999999996"/>
    <x v="0"/>
    <x v="0"/>
  </r>
  <r>
    <s v="R00103"/>
    <x v="5"/>
    <n v="65"/>
    <x v="3"/>
    <n v="52206.74"/>
    <n v="37774.089999999997"/>
    <n v="47"/>
    <n v="31"/>
    <n v="18132.13"/>
    <n v="237.22"/>
    <x v="0"/>
    <x v="0"/>
  </r>
  <r>
    <s v="R00007"/>
    <x v="5"/>
    <n v="61"/>
    <x v="3"/>
    <n v="59683.24"/>
    <n v="62993.33"/>
    <n v="34"/>
    <n v="37"/>
    <n v="23857.05"/>
    <n v="8314.64"/>
    <x v="0"/>
    <x v="0"/>
  </r>
  <r>
    <s v="R00046"/>
    <x v="2"/>
    <n v="35"/>
    <x v="3"/>
    <n v="34814.93"/>
    <n v="23725.9"/>
    <n v="30"/>
    <n v="29"/>
    <n v="36616.31"/>
    <n v="828"/>
    <x v="0"/>
    <x v="0"/>
  </r>
  <r>
    <s v="R00063"/>
    <x v="4"/>
    <n v="69"/>
    <x v="3"/>
    <n v="60932.07"/>
    <n v="36636.78"/>
    <n v="18"/>
    <n v="57"/>
    <n v="47315"/>
    <n v="5455.64"/>
    <x v="0"/>
    <x v="0"/>
  </r>
  <r>
    <s v="R00133"/>
    <x v="5"/>
    <n v="43"/>
    <x v="3"/>
    <n v="24423.54"/>
    <n v="20912.2"/>
    <n v="58"/>
    <n v="8"/>
    <n v="50214.39"/>
    <n v="2851.56"/>
    <x v="0"/>
    <x v="0"/>
  </r>
  <r>
    <s v="R00025"/>
    <x v="4"/>
    <n v="4"/>
    <x v="3"/>
    <n v="4000"/>
    <n v="2710.99"/>
    <n v="11"/>
    <n v="14"/>
    <n v="42675.85"/>
    <n v="5189.5600000000004"/>
    <x v="0"/>
    <x v="0"/>
  </r>
  <r>
    <s v="R00016"/>
    <x v="1"/>
    <n v="73"/>
    <x v="3"/>
    <n v="61764.74"/>
    <n v="45870.75"/>
    <n v="49"/>
    <n v="49"/>
    <n v="72629.13"/>
    <n v="7413.56"/>
    <x v="0"/>
    <x v="0"/>
  </r>
  <r>
    <s v="R00249"/>
    <x v="0"/>
    <n v="78"/>
    <x v="3"/>
    <n v="50426.720000000001"/>
    <n v="29780.62"/>
    <n v="57"/>
    <n v="27"/>
    <n v="36043.360000000001"/>
    <n v="0"/>
    <x v="0"/>
    <x v="0"/>
  </r>
  <r>
    <s v="R00840"/>
    <x v="1"/>
    <n v="85"/>
    <x v="4"/>
    <n v="64367.09"/>
    <n v="57336.86"/>
    <n v="15"/>
    <n v="5"/>
    <n v="34371.879999999997"/>
    <n v="6.8"/>
    <x v="0"/>
    <x v="0"/>
  </r>
  <r>
    <s v="R01456"/>
    <x v="1"/>
    <n v="54"/>
    <x v="4"/>
    <n v="48209.91"/>
    <n v="32401.599999999999"/>
    <n v="46"/>
    <n v="16"/>
    <n v="42898.21"/>
    <n v="7061.52"/>
    <x v="0"/>
    <x v="0"/>
  </r>
  <r>
    <s v="R00970"/>
    <x v="1"/>
    <n v="56"/>
    <x v="4"/>
    <n v="53737.25"/>
    <n v="54823.85"/>
    <n v="30"/>
    <n v="57"/>
    <n v="60033.8"/>
    <n v="3228.86"/>
    <x v="0"/>
    <x v="0"/>
  </r>
  <r>
    <s v="R01459"/>
    <x v="4"/>
    <n v="105"/>
    <x v="4"/>
    <n v="79658.12"/>
    <n v="55492.58"/>
    <n v="10"/>
    <n v="53"/>
    <n v="66430.14"/>
    <n v="0"/>
    <x v="0"/>
    <x v="0"/>
  </r>
  <r>
    <s v="R01558"/>
    <x v="0"/>
    <n v="67"/>
    <x v="4"/>
    <n v="64180.5"/>
    <n v="38127.35"/>
    <n v="46"/>
    <n v="4"/>
    <n v="66977.149999999994"/>
    <n v="6460.54"/>
    <x v="0"/>
    <x v="0"/>
  </r>
  <r>
    <s v="R01077"/>
    <x v="0"/>
    <n v="49"/>
    <x v="4"/>
    <n v="44957.54"/>
    <n v="27125.52"/>
    <n v="62"/>
    <n v="34"/>
    <n v="43566.85"/>
    <n v="0"/>
    <x v="1"/>
    <x v="0"/>
  </r>
  <r>
    <s v="R00647"/>
    <x v="1"/>
    <n v="94"/>
    <x v="4"/>
    <n v="71226.23"/>
    <n v="61374.27"/>
    <n v="30"/>
    <n v="58"/>
    <n v="0"/>
    <n v="0"/>
    <x v="1"/>
    <x v="0"/>
  </r>
  <r>
    <s v="R01082"/>
    <x v="3"/>
    <n v="100"/>
    <x v="4"/>
    <n v="92682.2"/>
    <n v="96581.62"/>
    <n v="34"/>
    <n v="31"/>
    <n v="0"/>
    <n v="3643.11"/>
    <x v="0"/>
    <x v="0"/>
  </r>
  <r>
    <s v="R01086"/>
    <x v="0"/>
    <n v="108"/>
    <x v="4"/>
    <n v="84506.7"/>
    <n v="68738.63"/>
    <n v="24"/>
    <n v="32"/>
    <n v="69929.63"/>
    <n v="0"/>
    <x v="1"/>
    <x v="0"/>
  </r>
  <r>
    <s v="R00269"/>
    <x v="4"/>
    <n v="16"/>
    <x v="4"/>
    <n v="17136.75"/>
    <n v="10681.76"/>
    <n v="34"/>
    <n v="19"/>
    <n v="22870.49"/>
    <n v="0"/>
    <x v="0"/>
    <x v="0"/>
  </r>
  <r>
    <s v="R01151"/>
    <x v="0"/>
    <n v="49"/>
    <x v="4"/>
    <n v="37316.93"/>
    <n v="22769.96"/>
    <n v="41"/>
    <n v="39"/>
    <n v="19122.97"/>
    <n v="12180.87"/>
    <x v="1"/>
    <x v="0"/>
  </r>
  <r>
    <s v="R00818"/>
    <x v="5"/>
    <n v="73"/>
    <x v="4"/>
    <n v="67210.64"/>
    <n v="60896.69"/>
    <n v="54"/>
    <n v="7"/>
    <n v="49962.55"/>
    <n v="4405.25"/>
    <x v="0"/>
    <x v="0"/>
  </r>
  <r>
    <s v="R00583"/>
    <x v="4"/>
    <n v="102"/>
    <x v="4"/>
    <n v="80808.73"/>
    <n v="52894.36"/>
    <n v="19"/>
    <n v="34"/>
    <n v="0"/>
    <n v="814.62"/>
    <x v="0"/>
    <x v="0"/>
  </r>
  <r>
    <s v="R00360"/>
    <x v="5"/>
    <n v="25"/>
    <x v="4"/>
    <n v="36035.919999999998"/>
    <n v="22218.73"/>
    <n v="46"/>
    <n v="32"/>
    <n v="61180.07"/>
    <n v="833.52"/>
    <x v="1"/>
    <x v="0"/>
  </r>
  <r>
    <s v="R00359"/>
    <x v="0"/>
    <n v="108"/>
    <x v="4"/>
    <n v="78508.69"/>
    <n v="56019.78"/>
    <n v="51"/>
    <n v="26"/>
    <n v="0"/>
    <n v="3301.41"/>
    <x v="0"/>
    <x v="0"/>
  </r>
  <r>
    <s v="R01282"/>
    <x v="5"/>
    <n v="78"/>
    <x v="4"/>
    <n v="66743.460000000006"/>
    <n v="61246"/>
    <n v="35"/>
    <n v="24"/>
    <n v="9350.1299999999992"/>
    <n v="4645.21"/>
    <x v="0"/>
    <x v="0"/>
  </r>
  <r>
    <s v="R01416"/>
    <x v="5"/>
    <n v="93"/>
    <x v="4"/>
    <n v="73856.78"/>
    <n v="53363.69"/>
    <n v="46"/>
    <n v="19"/>
    <n v="21223.08"/>
    <n v="2105.91"/>
    <x v="0"/>
    <x v="0"/>
  </r>
  <r>
    <s v="R00105"/>
    <x v="4"/>
    <n v="42"/>
    <x v="4"/>
    <n v="45522.73"/>
    <n v="41766.28"/>
    <n v="27"/>
    <n v="28"/>
    <n v="13787.42"/>
    <n v="3555.91"/>
    <x v="1"/>
    <x v="0"/>
  </r>
  <r>
    <s v="R01328"/>
    <x v="4"/>
    <n v="86"/>
    <x v="4"/>
    <n v="69335.3"/>
    <n v="68747.94"/>
    <n v="49"/>
    <n v="58"/>
    <n v="8211.98"/>
    <n v="0"/>
    <x v="0"/>
    <x v="0"/>
  </r>
  <r>
    <s v="R01570"/>
    <x v="3"/>
    <n v="32"/>
    <x v="4"/>
    <n v="25192.27"/>
    <n v="21688.53"/>
    <n v="10"/>
    <n v="21"/>
    <n v="65707.149999999994"/>
    <n v="5512.91"/>
    <x v="0"/>
    <x v="0"/>
  </r>
  <r>
    <s v="R00883"/>
    <x v="0"/>
    <n v="32"/>
    <x v="4"/>
    <n v="25659.15"/>
    <n v="25961.919999999998"/>
    <n v="27"/>
    <n v="37"/>
    <n v="47773.7"/>
    <n v="10934.51"/>
    <x v="0"/>
    <x v="0"/>
  </r>
  <r>
    <s v="R01587"/>
    <x v="2"/>
    <n v="93"/>
    <x v="4"/>
    <n v="76398.94"/>
    <n v="76974.039999999994"/>
    <n v="57"/>
    <n v="42"/>
    <n v="23241.11"/>
    <n v="4010.13"/>
    <x v="0"/>
    <x v="0"/>
  </r>
  <r>
    <s v="R01474"/>
    <x v="4"/>
    <n v="76"/>
    <x v="4"/>
    <n v="63840.959999999999"/>
    <n v="44348.3"/>
    <n v="32"/>
    <n v="4"/>
    <n v="63160.23"/>
    <n v="0"/>
    <x v="0"/>
    <x v="0"/>
  </r>
  <r>
    <s v="R00384"/>
    <x v="4"/>
    <n v="62"/>
    <x v="4"/>
    <n v="46536.25"/>
    <n v="34286.76"/>
    <n v="60"/>
    <n v="0"/>
    <n v="4426.71"/>
    <n v="0"/>
    <x v="0"/>
    <x v="0"/>
  </r>
  <r>
    <s v="R01543"/>
    <x v="4"/>
    <n v="56"/>
    <x v="4"/>
    <n v="45491.35"/>
    <n v="42072.56"/>
    <n v="64"/>
    <n v="19"/>
    <n v="28241.96"/>
    <n v="0"/>
    <x v="0"/>
    <x v="0"/>
  </r>
  <r>
    <s v="R01052"/>
    <x v="3"/>
    <n v="114"/>
    <x v="4"/>
    <n v="97899.39"/>
    <n v="65632.08"/>
    <n v="38"/>
    <n v="10"/>
    <n v="43464.89"/>
    <n v="2540.0500000000002"/>
    <x v="0"/>
    <x v="0"/>
  </r>
  <r>
    <s v="R01537"/>
    <x v="0"/>
    <n v="95"/>
    <x v="4"/>
    <n v="90223.85"/>
    <n v="81491.72"/>
    <n v="27"/>
    <n v="58"/>
    <n v="68832.75"/>
    <n v="1950.23"/>
    <x v="0"/>
    <x v="0"/>
  </r>
  <r>
    <s v="R00551"/>
    <x v="2"/>
    <n v="114"/>
    <x v="4"/>
    <n v="79851.48"/>
    <n v="52658.239999999998"/>
    <n v="34"/>
    <n v="42"/>
    <n v="67346.61"/>
    <n v="1494.85"/>
    <x v="0"/>
    <x v="0"/>
  </r>
  <r>
    <s v="R00264"/>
    <x v="1"/>
    <n v="98"/>
    <x v="4"/>
    <n v="72281.210000000006"/>
    <n v="43574.79"/>
    <n v="41"/>
    <n v="27"/>
    <n v="51383.69"/>
    <n v="0"/>
    <x v="0"/>
    <x v="0"/>
  </r>
  <r>
    <s v="R01446"/>
    <x v="3"/>
    <n v="76"/>
    <x v="4"/>
    <n v="65135.32"/>
    <n v="68249.289999999994"/>
    <n v="63"/>
    <n v="45"/>
    <n v="46144.98"/>
    <n v="0"/>
    <x v="1"/>
    <x v="0"/>
  </r>
  <r>
    <s v="R00124"/>
    <x v="0"/>
    <n v="120"/>
    <x v="4"/>
    <n v="98821.75"/>
    <n v="73846.09"/>
    <n v="19"/>
    <n v="40"/>
    <n v="51260.35"/>
    <n v="0"/>
    <x v="1"/>
    <x v="0"/>
  </r>
  <r>
    <s v="R01308"/>
    <x v="1"/>
    <n v="88"/>
    <x v="4"/>
    <n v="80405.08"/>
    <n v="59746.83"/>
    <n v="56"/>
    <n v="40"/>
    <n v="19621.38"/>
    <n v="4880.04"/>
    <x v="0"/>
    <x v="0"/>
  </r>
  <r>
    <s v="R00398"/>
    <x v="0"/>
    <n v="10"/>
    <x v="4"/>
    <n v="15779.82"/>
    <n v="15728.66"/>
    <n v="35"/>
    <n v="17"/>
    <n v="68131.039999999994"/>
    <n v="8647.74"/>
    <x v="0"/>
    <x v="0"/>
  </r>
  <r>
    <s v="R00438"/>
    <x v="5"/>
    <n v="93"/>
    <x v="4"/>
    <n v="73488.929999999993"/>
    <n v="53392.58"/>
    <n v="32"/>
    <n v="24"/>
    <n v="0"/>
    <n v="2493.38"/>
    <x v="0"/>
    <x v="0"/>
  </r>
  <r>
    <s v="R01222"/>
    <x v="4"/>
    <n v="100"/>
    <x v="4"/>
    <n v="88746.45"/>
    <n v="87320.98"/>
    <n v="44"/>
    <n v="28"/>
    <n v="9771.64"/>
    <n v="1288.1600000000001"/>
    <x v="0"/>
    <x v="0"/>
  </r>
  <r>
    <s v="R00287"/>
    <x v="2"/>
    <n v="109"/>
    <x v="4"/>
    <n v="88001.32"/>
    <n v="76000.03"/>
    <n v="10"/>
    <n v="32"/>
    <n v="25140.400000000001"/>
    <n v="0"/>
    <x v="0"/>
    <x v="0"/>
  </r>
  <r>
    <s v="R00127"/>
    <x v="4"/>
    <n v="110"/>
    <x v="4"/>
    <n v="78799.45"/>
    <n v="58532.49"/>
    <n v="25"/>
    <n v="43"/>
    <n v="65201.59"/>
    <n v="3619.55"/>
    <x v="0"/>
    <x v="0"/>
  </r>
  <r>
    <s v="R01064"/>
    <x v="5"/>
    <n v="65"/>
    <x v="4"/>
    <n v="56047.44"/>
    <n v="37407.64"/>
    <n v="26"/>
    <n v="9"/>
    <n v="29398.23"/>
    <n v="0"/>
    <x v="0"/>
    <x v="0"/>
  </r>
  <r>
    <s v="R00974"/>
    <x v="5"/>
    <n v="49"/>
    <x v="4"/>
    <n v="40997.870000000003"/>
    <n v="26606.53"/>
    <n v="41"/>
    <n v="22"/>
    <n v="39829.730000000003"/>
    <n v="1749.3"/>
    <x v="0"/>
    <x v="0"/>
  </r>
  <r>
    <s v="R00267"/>
    <x v="5"/>
    <n v="75"/>
    <x v="4"/>
    <n v="51928.12"/>
    <n v="37821.120000000003"/>
    <n v="43"/>
    <n v="34"/>
    <n v="5437.72"/>
    <n v="4071.17"/>
    <x v="0"/>
    <x v="0"/>
  </r>
  <r>
    <s v="R00389"/>
    <x v="1"/>
    <n v="72"/>
    <x v="4"/>
    <n v="55782.47"/>
    <n v="41199.800000000003"/>
    <n v="44"/>
    <n v="24"/>
    <n v="66721.87"/>
    <n v="310.5"/>
    <x v="0"/>
    <x v="0"/>
  </r>
  <r>
    <s v="R00844"/>
    <x v="2"/>
    <n v="83"/>
    <x v="4"/>
    <n v="80707.100000000006"/>
    <n v="84144.59"/>
    <n v="41"/>
    <n v="30"/>
    <n v="42679.13"/>
    <n v="2821"/>
    <x v="1"/>
    <x v="0"/>
  </r>
  <r>
    <s v="R01476"/>
    <x v="3"/>
    <n v="115"/>
    <x v="4"/>
    <n v="88698.46"/>
    <n v="79323.83"/>
    <n v="49"/>
    <n v="18"/>
    <n v="48065.75"/>
    <n v="10093.5"/>
    <x v="0"/>
    <x v="0"/>
  </r>
  <r>
    <s v="R00199"/>
    <x v="5"/>
    <n v="92"/>
    <x v="4"/>
    <n v="64077.13"/>
    <n v="43788.55"/>
    <n v="18"/>
    <n v="14"/>
    <n v="19047.07"/>
    <n v="0"/>
    <x v="0"/>
    <x v="0"/>
  </r>
  <r>
    <s v="R01237"/>
    <x v="0"/>
    <n v="103"/>
    <x v="4"/>
    <n v="85578.69"/>
    <n v="69263.75"/>
    <n v="35"/>
    <n v="25"/>
    <n v="19805.32"/>
    <n v="792.41"/>
    <x v="0"/>
    <x v="0"/>
  </r>
  <r>
    <s v="R00130"/>
    <x v="1"/>
    <n v="33"/>
    <x v="4"/>
    <n v="35683.25"/>
    <n v="29348.79"/>
    <n v="47"/>
    <n v="51"/>
    <n v="0"/>
    <n v="466.1"/>
    <x v="0"/>
    <x v="0"/>
  </r>
  <r>
    <s v="R00814"/>
    <x v="3"/>
    <n v="6"/>
    <x v="4"/>
    <n v="7698.7"/>
    <n v="8257.7800000000007"/>
    <n v="26"/>
    <n v="64"/>
    <n v="76776.2"/>
    <n v="0"/>
    <x v="0"/>
    <x v="0"/>
  </r>
  <r>
    <s v="R00608"/>
    <x v="2"/>
    <n v="114"/>
    <x v="4"/>
    <n v="98290.98"/>
    <n v="79117.98"/>
    <n v="40"/>
    <n v="76"/>
    <n v="40657.33"/>
    <n v="4483.9399999999996"/>
    <x v="0"/>
    <x v="0"/>
  </r>
  <r>
    <s v="R01006"/>
    <x v="4"/>
    <n v="21"/>
    <x v="4"/>
    <n v="27455.360000000001"/>
    <n v="15941.62"/>
    <n v="20"/>
    <n v="48"/>
    <n v="0"/>
    <n v="329.6"/>
    <x v="0"/>
    <x v="0"/>
  </r>
  <r>
    <s v="R00793"/>
    <x v="4"/>
    <n v="3"/>
    <x v="4"/>
    <n v="20901.71"/>
    <n v="18285.400000000001"/>
    <n v="49"/>
    <n v="23"/>
    <n v="23545.93"/>
    <n v="3559.39"/>
    <x v="0"/>
    <x v="0"/>
  </r>
  <r>
    <s v="R00519"/>
    <x v="1"/>
    <n v="91"/>
    <x v="4"/>
    <n v="74782.7"/>
    <n v="79573.84"/>
    <n v="61"/>
    <n v="19"/>
    <n v="53565.96"/>
    <n v="7065.02"/>
    <x v="0"/>
    <x v="0"/>
  </r>
  <r>
    <s v="R01284"/>
    <x v="2"/>
    <n v="72"/>
    <x v="4"/>
    <n v="47026.3"/>
    <n v="34650.99"/>
    <n v="33"/>
    <n v="12"/>
    <n v="53285.93"/>
    <n v="4561.71"/>
    <x v="0"/>
    <x v="0"/>
  </r>
  <r>
    <s v="R00090"/>
    <x v="3"/>
    <n v="33"/>
    <x v="4"/>
    <n v="36533.11"/>
    <n v="29955.73"/>
    <n v="50"/>
    <n v="25"/>
    <n v="26326.6"/>
    <n v="1228.4100000000001"/>
    <x v="0"/>
    <x v="0"/>
  </r>
  <r>
    <s v="R01011"/>
    <x v="1"/>
    <n v="24"/>
    <x v="4"/>
    <n v="26373.919999999998"/>
    <n v="28230.75"/>
    <n v="29"/>
    <n v="39"/>
    <n v="9309.69"/>
    <n v="7478.53"/>
    <x v="1"/>
    <x v="0"/>
  </r>
  <r>
    <s v="R00541"/>
    <x v="0"/>
    <n v="27"/>
    <x v="4"/>
    <n v="23216.49"/>
    <n v="24317.51"/>
    <n v="36"/>
    <n v="21"/>
    <n v="31043.74"/>
    <n v="4668.16"/>
    <x v="0"/>
    <x v="0"/>
  </r>
  <r>
    <s v="R01259"/>
    <x v="4"/>
    <n v="105"/>
    <x v="4"/>
    <n v="99782.18"/>
    <n v="106766.3"/>
    <n v="62"/>
    <n v="32"/>
    <n v="55530.66"/>
    <n v="4071.86"/>
    <x v="0"/>
    <x v="0"/>
  </r>
  <r>
    <s v="R00138"/>
    <x v="5"/>
    <n v="37"/>
    <x v="4"/>
    <n v="44574.879999999997"/>
    <n v="35385.449999999997"/>
    <n v="57"/>
    <n v="41"/>
    <n v="19785.07"/>
    <n v="1089.53"/>
    <x v="0"/>
    <x v="0"/>
  </r>
  <r>
    <s v="R00506"/>
    <x v="4"/>
    <n v="19"/>
    <x v="4"/>
    <n v="30532.720000000001"/>
    <n v="29814.68"/>
    <n v="29"/>
    <n v="32"/>
    <n v="24598.85"/>
    <n v="103.6"/>
    <x v="1"/>
    <x v="0"/>
  </r>
  <r>
    <s v="R00048"/>
    <x v="5"/>
    <n v="120"/>
    <x v="4"/>
    <n v="110982.26"/>
    <n v="113355.65"/>
    <n v="47"/>
    <n v="55"/>
    <n v="75144.28"/>
    <n v="11560.47"/>
    <x v="1"/>
    <x v="0"/>
  </r>
  <r>
    <s v="R01145"/>
    <x v="1"/>
    <n v="37"/>
    <x v="4"/>
    <n v="37069.83"/>
    <n v="27527.16"/>
    <n v="36"/>
    <n v="32"/>
    <n v="73660.5"/>
    <n v="5238.26"/>
    <x v="0"/>
    <x v="0"/>
  </r>
  <r>
    <s v="R00321"/>
    <x v="1"/>
    <n v="10"/>
    <x v="4"/>
    <n v="24935.53"/>
    <n v="20765.27"/>
    <n v="22"/>
    <n v="10"/>
    <n v="31765.01"/>
    <n v="0"/>
    <x v="0"/>
    <x v="0"/>
  </r>
  <r>
    <s v="R00022"/>
    <x v="0"/>
    <n v="5"/>
    <x v="4"/>
    <n v="13481.82"/>
    <n v="10896.57"/>
    <n v="55"/>
    <n v="26"/>
    <n v="57800.37"/>
    <n v="4230.7"/>
    <x v="0"/>
    <x v="0"/>
  </r>
  <r>
    <s v="R01579"/>
    <x v="2"/>
    <n v="76"/>
    <x v="4"/>
    <n v="79629.22"/>
    <n v="84078.12"/>
    <n v="48"/>
    <n v="38"/>
    <n v="51292.03"/>
    <n v="502.18"/>
    <x v="1"/>
    <x v="0"/>
  </r>
  <r>
    <s v="R00565"/>
    <x v="3"/>
    <n v="119"/>
    <x v="4"/>
    <n v="83533.899999999994"/>
    <n v="69859.37"/>
    <n v="48"/>
    <n v="64"/>
    <n v="62746.39"/>
    <n v="0"/>
    <x v="0"/>
    <x v="0"/>
  </r>
  <r>
    <s v="R01122"/>
    <x v="1"/>
    <n v="12"/>
    <x v="4"/>
    <n v="15371.13"/>
    <n v="13662.23"/>
    <n v="68"/>
    <n v="33"/>
    <n v="36004.46"/>
    <n v="0"/>
    <x v="1"/>
    <x v="0"/>
  </r>
  <r>
    <s v="R01582"/>
    <x v="4"/>
    <n v="113"/>
    <x v="4"/>
    <n v="87360.91"/>
    <n v="72751.55"/>
    <n v="41"/>
    <n v="3"/>
    <n v="46063.12"/>
    <n v="9072.2999999999993"/>
    <x v="0"/>
    <x v="0"/>
  </r>
  <r>
    <s v="R01000"/>
    <x v="4"/>
    <n v="57"/>
    <x v="4"/>
    <n v="53571.4"/>
    <n v="43357.08"/>
    <n v="80"/>
    <n v="25"/>
    <n v="5522.27"/>
    <n v="0"/>
    <x v="0"/>
    <x v="0"/>
  </r>
  <r>
    <s v="R00560"/>
    <x v="5"/>
    <n v="84"/>
    <x v="4"/>
    <n v="68167.899999999994"/>
    <n v="72523.149999999994"/>
    <n v="35"/>
    <n v="0"/>
    <n v="55325.83"/>
    <n v="0"/>
    <x v="0"/>
    <x v="0"/>
  </r>
  <r>
    <s v="R00960"/>
    <x v="2"/>
    <n v="34"/>
    <x v="4"/>
    <n v="42030.73"/>
    <n v="24937.64"/>
    <n v="35"/>
    <n v="9"/>
    <n v="17387.240000000002"/>
    <n v="12069.55"/>
    <x v="0"/>
    <x v="0"/>
  </r>
  <r>
    <s v="R01114"/>
    <x v="1"/>
    <n v="69"/>
    <x v="4"/>
    <n v="61075.86"/>
    <n v="44014.95"/>
    <n v="11"/>
    <n v="46"/>
    <n v="49862.83"/>
    <n v="3627.96"/>
    <x v="0"/>
    <x v="0"/>
  </r>
  <r>
    <s v="R00988"/>
    <x v="3"/>
    <n v="71"/>
    <x v="4"/>
    <n v="67716.95"/>
    <n v="48295.88"/>
    <n v="44"/>
    <n v="10"/>
    <n v="29204.04"/>
    <n v="6668.4"/>
    <x v="0"/>
    <x v="0"/>
  </r>
  <r>
    <s v="R00101"/>
    <x v="0"/>
    <n v="106"/>
    <x v="4"/>
    <n v="78367.839999999997"/>
    <n v="62447.01"/>
    <n v="28"/>
    <n v="17"/>
    <n v="658.88"/>
    <n v="6688.83"/>
    <x v="0"/>
    <x v="0"/>
  </r>
  <r>
    <s v="R01406"/>
    <x v="1"/>
    <n v="15"/>
    <x v="4"/>
    <n v="20461.91"/>
    <n v="15076.51"/>
    <n v="39"/>
    <n v="42"/>
    <n v="52148.83"/>
    <n v="2966.62"/>
    <x v="0"/>
    <x v="0"/>
  </r>
  <r>
    <s v="R01576"/>
    <x v="4"/>
    <n v="14"/>
    <x v="4"/>
    <n v="8153"/>
    <n v="5504.14"/>
    <n v="17"/>
    <n v="22"/>
    <n v="46499.92"/>
    <n v="0"/>
    <x v="0"/>
    <x v="0"/>
  </r>
  <r>
    <s v="R00161"/>
    <x v="4"/>
    <n v="7"/>
    <x v="4"/>
    <n v="11624.64"/>
    <n v="8554.17"/>
    <n v="39"/>
    <n v="41"/>
    <n v="27575.09"/>
    <n v="1223.6099999999999"/>
    <x v="0"/>
    <x v="0"/>
  </r>
  <r>
    <s v="R00720"/>
    <x v="0"/>
    <n v="75"/>
    <x v="4"/>
    <n v="50556.03"/>
    <n v="42568.61"/>
    <n v="34"/>
    <n v="10"/>
    <n v="23412.87"/>
    <n v="3450.47"/>
    <x v="1"/>
    <x v="0"/>
  </r>
  <r>
    <s v="R00579"/>
    <x v="4"/>
    <n v="116"/>
    <x v="4"/>
    <n v="105739.08"/>
    <n v="64315.49"/>
    <n v="59"/>
    <n v="27"/>
    <n v="20251.900000000001"/>
    <n v="0"/>
    <x v="1"/>
    <x v="0"/>
  </r>
  <r>
    <s v="R00054"/>
    <x v="1"/>
    <n v="53"/>
    <x v="4"/>
    <n v="41690.620000000003"/>
    <n v="32361.97"/>
    <n v="51"/>
    <n v="10"/>
    <n v="17486.55"/>
    <n v="0"/>
    <x v="0"/>
    <x v="0"/>
  </r>
  <r>
    <s v="R01403"/>
    <x v="4"/>
    <n v="15"/>
    <x v="4"/>
    <n v="15215.53"/>
    <n v="13788.9"/>
    <n v="54"/>
    <n v="44"/>
    <n v="72039.570000000007"/>
    <n v="2833.84"/>
    <x v="0"/>
    <x v="0"/>
  </r>
  <r>
    <s v="R00678"/>
    <x v="3"/>
    <n v="3"/>
    <x v="4"/>
    <n v="10656.71"/>
    <n v="6390.03"/>
    <n v="41"/>
    <n v="38"/>
    <n v="13558.48"/>
    <n v="5271.95"/>
    <x v="1"/>
    <x v="0"/>
  </r>
  <r>
    <s v="R00737"/>
    <x v="4"/>
    <n v="96"/>
    <x v="4"/>
    <n v="89959.18"/>
    <n v="75477.27"/>
    <n v="23"/>
    <n v="20"/>
    <n v="52855.55"/>
    <n v="4186.2299999999996"/>
    <x v="0"/>
    <x v="0"/>
  </r>
  <r>
    <s v="R00599"/>
    <x v="4"/>
    <n v="120"/>
    <x v="5"/>
    <n v="92776"/>
    <n v="76652.52"/>
    <n v="18"/>
    <n v="26"/>
    <n v="53318.75"/>
    <n v="8531.1"/>
    <x v="0"/>
    <x v="0"/>
  </r>
  <r>
    <s v="R00414"/>
    <x v="3"/>
    <n v="45"/>
    <x v="5"/>
    <n v="28573.99"/>
    <n v="27677.03"/>
    <n v="51"/>
    <n v="12"/>
    <n v="22622.84"/>
    <n v="861.58"/>
    <x v="0"/>
    <x v="0"/>
  </r>
  <r>
    <s v="R00902"/>
    <x v="2"/>
    <n v="55"/>
    <x v="5"/>
    <n v="44493.03"/>
    <n v="29087.66"/>
    <n v="65"/>
    <n v="13"/>
    <n v="0"/>
    <n v="11766.24"/>
    <x v="1"/>
    <x v="0"/>
  </r>
  <r>
    <s v="R01500"/>
    <x v="2"/>
    <n v="99"/>
    <x v="5"/>
    <n v="88475.1"/>
    <n v="77490.38"/>
    <n v="48"/>
    <n v="39"/>
    <n v="75767.69"/>
    <n v="7659.93"/>
    <x v="0"/>
    <x v="0"/>
  </r>
  <r>
    <s v="R00145"/>
    <x v="3"/>
    <n v="17"/>
    <x v="5"/>
    <n v="29421.42"/>
    <n v="30255.46"/>
    <n v="10"/>
    <n v="39"/>
    <n v="59455.07"/>
    <n v="0"/>
    <x v="0"/>
    <x v="0"/>
  </r>
  <r>
    <s v="R00019"/>
    <x v="3"/>
    <n v="63"/>
    <x v="5"/>
    <n v="59261.26"/>
    <n v="60702.54"/>
    <n v="35"/>
    <n v="54"/>
    <n v="8503.49"/>
    <n v="2913.57"/>
    <x v="0"/>
    <x v="0"/>
  </r>
  <r>
    <s v="R01219"/>
    <x v="0"/>
    <n v="91"/>
    <x v="5"/>
    <n v="69518.710000000006"/>
    <n v="59258.48"/>
    <n v="37"/>
    <n v="13"/>
    <n v="40258.43"/>
    <n v="9617.69"/>
    <x v="0"/>
    <x v="0"/>
  </r>
  <r>
    <s v="R00450"/>
    <x v="0"/>
    <n v="12"/>
    <x v="5"/>
    <n v="7809.55"/>
    <n v="4543.1899999999996"/>
    <n v="25"/>
    <n v="31"/>
    <n v="32340.54"/>
    <n v="0"/>
    <x v="0"/>
    <x v="0"/>
  </r>
  <r>
    <s v="R01018"/>
    <x v="3"/>
    <n v="89"/>
    <x v="5"/>
    <n v="51391.03"/>
    <n v="30677.69"/>
    <n v="30"/>
    <n v="3"/>
    <n v="30690.78"/>
    <n v="0"/>
    <x v="0"/>
    <x v="0"/>
  </r>
  <r>
    <s v="R00441"/>
    <x v="2"/>
    <n v="15"/>
    <x v="5"/>
    <n v="7036.43"/>
    <n v="7302.54"/>
    <n v="42"/>
    <n v="35"/>
    <n v="48939.73"/>
    <n v="6976.38"/>
    <x v="1"/>
    <x v="0"/>
  </r>
  <r>
    <s v="R01525"/>
    <x v="5"/>
    <n v="28"/>
    <x v="5"/>
    <n v="29843.61"/>
    <n v="19663.23"/>
    <n v="18"/>
    <n v="29"/>
    <n v="1768.44"/>
    <n v="513.49"/>
    <x v="0"/>
    <x v="0"/>
  </r>
  <r>
    <s v="R00026"/>
    <x v="4"/>
    <n v="3"/>
    <x v="5"/>
    <n v="4000"/>
    <n v="2500"/>
    <n v="60"/>
    <n v="38"/>
    <n v="63952.5"/>
    <n v="11029.27"/>
    <x v="0"/>
    <x v="0"/>
  </r>
  <r>
    <s v="R00147"/>
    <x v="0"/>
    <n v="81"/>
    <x v="5"/>
    <n v="63040.84"/>
    <n v="54138.38"/>
    <n v="10"/>
    <n v="40"/>
    <n v="19967.3"/>
    <n v="0"/>
    <x v="0"/>
    <x v="0"/>
  </r>
  <r>
    <s v="R01034"/>
    <x v="3"/>
    <n v="9"/>
    <x v="5"/>
    <n v="15354.89"/>
    <n v="10065.67"/>
    <n v="38"/>
    <n v="20"/>
    <n v="40562.959999999999"/>
    <n v="0"/>
    <x v="1"/>
    <x v="0"/>
  </r>
  <r>
    <s v="R00558"/>
    <x v="3"/>
    <n v="43"/>
    <x v="5"/>
    <n v="27670.22"/>
    <n v="16059.77"/>
    <n v="11"/>
    <n v="54"/>
    <n v="29969.919999999998"/>
    <n v="7201.83"/>
    <x v="0"/>
    <x v="0"/>
  </r>
  <r>
    <s v="R00431"/>
    <x v="0"/>
    <n v="11"/>
    <x v="5"/>
    <n v="13268.91"/>
    <n v="9514.0499999999993"/>
    <n v="52"/>
    <n v="42"/>
    <n v="11268.04"/>
    <n v="0"/>
    <x v="1"/>
    <x v="0"/>
  </r>
  <r>
    <s v="R00166"/>
    <x v="4"/>
    <n v="78"/>
    <x v="5"/>
    <n v="79508.490000000005"/>
    <n v="54305.53"/>
    <n v="67"/>
    <n v="20"/>
    <n v="25844.55"/>
    <n v="5561.21"/>
    <x v="0"/>
    <x v="0"/>
  </r>
  <r>
    <s v="R00924"/>
    <x v="4"/>
    <n v="82"/>
    <x v="5"/>
    <n v="81082.69"/>
    <n v="76245.11"/>
    <n v="64"/>
    <n v="54"/>
    <n v="90961.76"/>
    <n v="5666.47"/>
    <x v="0"/>
    <x v="0"/>
  </r>
  <r>
    <s v="R01028"/>
    <x v="5"/>
    <n v="84"/>
    <x v="5"/>
    <n v="74072.37"/>
    <n v="44378.95"/>
    <n v="14"/>
    <n v="44"/>
    <n v="7503.37"/>
    <n v="4607.99"/>
    <x v="0"/>
    <x v="0"/>
  </r>
  <r>
    <s v="R01236"/>
    <x v="3"/>
    <n v="106"/>
    <x v="5"/>
    <n v="78384.899999999994"/>
    <n v="62847.72"/>
    <n v="27"/>
    <n v="41"/>
    <n v="32401.41"/>
    <n v="0"/>
    <x v="0"/>
    <x v="0"/>
  </r>
  <r>
    <s v="R00875"/>
    <x v="1"/>
    <n v="76"/>
    <x v="5"/>
    <n v="48532.75"/>
    <n v="46428.41"/>
    <n v="57"/>
    <n v="28"/>
    <n v="41622.230000000003"/>
    <n v="0"/>
    <x v="0"/>
    <x v="0"/>
  </r>
  <r>
    <s v="R00447"/>
    <x v="3"/>
    <n v="115"/>
    <x v="5"/>
    <n v="97148.07"/>
    <n v="64233.29"/>
    <n v="81"/>
    <n v="65"/>
    <n v="1414.57"/>
    <n v="2877.49"/>
    <x v="1"/>
    <x v="0"/>
  </r>
  <r>
    <s v="R00131"/>
    <x v="5"/>
    <n v="81"/>
    <x v="5"/>
    <n v="78039.490000000005"/>
    <n v="49076.65"/>
    <n v="27"/>
    <n v="23"/>
    <n v="101175.31"/>
    <n v="3003.82"/>
    <x v="0"/>
    <x v="0"/>
  </r>
  <r>
    <s v="R00536"/>
    <x v="1"/>
    <n v="32"/>
    <x v="5"/>
    <n v="32807.82"/>
    <n v="33849.96"/>
    <n v="50"/>
    <n v="41"/>
    <n v="30238.38"/>
    <n v="7433.92"/>
    <x v="0"/>
    <x v="0"/>
  </r>
  <r>
    <s v="R00537"/>
    <x v="5"/>
    <n v="96"/>
    <x v="5"/>
    <n v="73605.820000000007"/>
    <n v="56195.05"/>
    <n v="30"/>
    <n v="50"/>
    <n v="19255.39"/>
    <n v="5445.08"/>
    <x v="0"/>
    <x v="0"/>
  </r>
  <r>
    <s v="R00979"/>
    <x v="3"/>
    <n v="87"/>
    <x v="5"/>
    <n v="83377.11"/>
    <n v="68462.09"/>
    <n v="15"/>
    <n v="51"/>
    <n v="61128.1"/>
    <n v="6547.09"/>
    <x v="0"/>
    <x v="0"/>
  </r>
  <r>
    <s v="R01056"/>
    <x v="1"/>
    <n v="88"/>
    <x v="5"/>
    <n v="71618.61"/>
    <n v="63112.73"/>
    <n v="62"/>
    <n v="7"/>
    <n v="0"/>
    <n v="11086.09"/>
    <x v="0"/>
    <x v="0"/>
  </r>
  <r>
    <s v="R00841"/>
    <x v="2"/>
    <n v="47"/>
    <x v="5"/>
    <n v="40747.65"/>
    <n v="43499.839999999997"/>
    <n v="43"/>
    <n v="10"/>
    <n v="60819.38"/>
    <n v="6419.25"/>
    <x v="0"/>
    <x v="0"/>
  </r>
  <r>
    <s v="R00169"/>
    <x v="2"/>
    <n v="14"/>
    <x v="5"/>
    <n v="17767.099999999999"/>
    <n v="11321.68"/>
    <n v="63"/>
    <n v="36"/>
    <n v="19081.21"/>
    <n v="4573.75"/>
    <x v="0"/>
    <x v="0"/>
  </r>
  <r>
    <s v="R00505"/>
    <x v="5"/>
    <n v="48"/>
    <x v="5"/>
    <n v="47985.48"/>
    <n v="29867.759999999998"/>
    <n v="54"/>
    <n v="73"/>
    <n v="34007.31"/>
    <n v="5162.83"/>
    <x v="0"/>
    <x v="0"/>
  </r>
  <r>
    <s v="R00188"/>
    <x v="3"/>
    <n v="48"/>
    <x v="5"/>
    <n v="49258.86"/>
    <n v="48103.66"/>
    <n v="18"/>
    <n v="41"/>
    <n v="45037.7"/>
    <n v="9900.67"/>
    <x v="0"/>
    <x v="0"/>
  </r>
  <r>
    <s v="R01131"/>
    <x v="4"/>
    <n v="49"/>
    <x v="5"/>
    <n v="44713.63"/>
    <n v="32465.86"/>
    <n v="20"/>
    <n v="2"/>
    <n v="46859.040000000001"/>
    <n v="1292.0899999999999"/>
    <x v="0"/>
    <x v="0"/>
  </r>
  <r>
    <s v="R01399"/>
    <x v="2"/>
    <n v="60"/>
    <x v="5"/>
    <n v="63971.91"/>
    <n v="45038.5"/>
    <n v="59"/>
    <n v="27"/>
    <n v="14348.29"/>
    <n v="0"/>
    <x v="1"/>
    <x v="0"/>
  </r>
  <r>
    <s v="R00098"/>
    <x v="4"/>
    <n v="21"/>
    <x v="5"/>
    <n v="12729.33"/>
    <n v="11076.56"/>
    <n v="50"/>
    <n v="29"/>
    <n v="17133.5"/>
    <n v="6832.21"/>
    <x v="0"/>
    <x v="0"/>
  </r>
  <r>
    <s v="R01345"/>
    <x v="2"/>
    <n v="95"/>
    <x v="5"/>
    <n v="80113.75"/>
    <n v="66323.92"/>
    <n v="19"/>
    <n v="14"/>
    <n v="70713.210000000006"/>
    <n v="0"/>
    <x v="1"/>
    <x v="0"/>
  </r>
  <r>
    <s v="R00056"/>
    <x v="1"/>
    <n v="15"/>
    <x v="5"/>
    <n v="18790.34"/>
    <n v="13459.34"/>
    <n v="51"/>
    <n v="53"/>
    <n v="58223.68"/>
    <n v="2936.88"/>
    <x v="1"/>
    <x v="0"/>
  </r>
  <r>
    <s v="R00319"/>
    <x v="5"/>
    <n v="118"/>
    <x v="5"/>
    <n v="86223.34"/>
    <n v="62967.87"/>
    <n v="41"/>
    <n v="57"/>
    <n v="19867.14"/>
    <n v="0"/>
    <x v="1"/>
    <x v="0"/>
  </r>
  <r>
    <s v="R01347"/>
    <x v="1"/>
    <n v="31"/>
    <x v="5"/>
    <n v="10450.66"/>
    <n v="9718.43"/>
    <n v="58"/>
    <n v="29"/>
    <n v="8245.2099999999991"/>
    <n v="2245.6799999999998"/>
    <x v="0"/>
    <x v="0"/>
  </r>
  <r>
    <s v="R01348"/>
    <x v="5"/>
    <n v="41"/>
    <x v="5"/>
    <n v="48287.199999999997"/>
    <n v="50534.55"/>
    <n v="16"/>
    <n v="16"/>
    <n v="55569.02"/>
    <n v="4352.62"/>
    <x v="0"/>
    <x v="0"/>
  </r>
  <r>
    <s v="R00285"/>
    <x v="3"/>
    <n v="72"/>
    <x v="5"/>
    <n v="58659.38"/>
    <n v="59477.04"/>
    <n v="45"/>
    <n v="27"/>
    <n v="33168.85"/>
    <n v="2251.08"/>
    <x v="0"/>
    <x v="0"/>
  </r>
  <r>
    <s v="R00174"/>
    <x v="4"/>
    <n v="43"/>
    <x v="5"/>
    <n v="33090.36"/>
    <n v="20882.240000000002"/>
    <n v="11"/>
    <n v="25"/>
    <n v="0"/>
    <n v="2227.63"/>
    <x v="0"/>
    <x v="0"/>
  </r>
  <r>
    <s v="R01584"/>
    <x v="1"/>
    <n v="27"/>
    <x v="5"/>
    <n v="25133.34"/>
    <n v="26455.05"/>
    <n v="23"/>
    <n v="19"/>
    <n v="39075.85"/>
    <n v="8781.7900000000009"/>
    <x v="1"/>
    <x v="0"/>
  </r>
  <r>
    <s v="R00097"/>
    <x v="5"/>
    <n v="66"/>
    <x v="5"/>
    <n v="60683.1"/>
    <n v="51221.13"/>
    <n v="52"/>
    <n v="24"/>
    <n v="67377.14"/>
    <n v="0"/>
    <x v="0"/>
    <x v="0"/>
  </r>
  <r>
    <s v="R00712"/>
    <x v="1"/>
    <n v="112"/>
    <x v="5"/>
    <n v="75785.72"/>
    <n v="51042.68"/>
    <n v="43"/>
    <n v="21"/>
    <n v="10138"/>
    <n v="7090.11"/>
    <x v="0"/>
    <x v="0"/>
  </r>
  <r>
    <s v="R00715"/>
    <x v="4"/>
    <n v="94"/>
    <x v="5"/>
    <n v="87019.66"/>
    <n v="83295.47"/>
    <n v="35"/>
    <n v="68"/>
    <n v="33196.35"/>
    <n v="803.07"/>
    <x v="1"/>
    <x v="0"/>
  </r>
  <r>
    <s v="R01386"/>
    <x v="5"/>
    <n v="50"/>
    <x v="5"/>
    <n v="51738.31"/>
    <n v="31605.22"/>
    <n v="50"/>
    <n v="30"/>
    <n v="48403.59"/>
    <n v="9939.61"/>
    <x v="0"/>
    <x v="0"/>
  </r>
  <r>
    <s v="R00305"/>
    <x v="5"/>
    <n v="111"/>
    <x v="5"/>
    <n v="97446.64"/>
    <n v="70109.47"/>
    <n v="10"/>
    <n v="21"/>
    <n v="38005.629999999997"/>
    <n v="8838.19"/>
    <x v="0"/>
    <x v="0"/>
  </r>
  <r>
    <s v="R00758"/>
    <x v="1"/>
    <n v="31"/>
    <x v="5"/>
    <n v="52352.98"/>
    <n v="38269.46"/>
    <n v="25"/>
    <n v="16"/>
    <n v="24477.19"/>
    <n v="6550.9"/>
    <x v="0"/>
    <x v="0"/>
  </r>
  <r>
    <s v="R00300"/>
    <x v="1"/>
    <n v="25"/>
    <x v="5"/>
    <n v="17633.04"/>
    <n v="12977.56"/>
    <n v="15"/>
    <n v="22"/>
    <n v="42513.64"/>
    <n v="6993.18"/>
    <x v="0"/>
    <x v="0"/>
  </r>
  <r>
    <s v="R00757"/>
    <x v="3"/>
    <n v="79"/>
    <x v="5"/>
    <n v="74975.11"/>
    <n v="73603.350000000006"/>
    <n v="27"/>
    <n v="21"/>
    <n v="48074.71"/>
    <n v="3114.65"/>
    <x v="0"/>
    <x v="0"/>
  </r>
  <r>
    <s v="R00752"/>
    <x v="3"/>
    <n v="79"/>
    <x v="5"/>
    <n v="82309.52"/>
    <n v="63784.73"/>
    <n v="20"/>
    <n v="28"/>
    <n v="26733.51"/>
    <n v="6566.58"/>
    <x v="0"/>
    <x v="0"/>
  </r>
  <r>
    <s v="R00517"/>
    <x v="0"/>
    <n v="92"/>
    <x v="5"/>
    <n v="73779.25"/>
    <n v="75357.320000000007"/>
    <n v="17"/>
    <n v="51"/>
    <n v="11061.49"/>
    <n v="9788.93"/>
    <x v="0"/>
    <x v="0"/>
  </r>
  <r>
    <s v="R01154"/>
    <x v="5"/>
    <n v="50"/>
    <x v="5"/>
    <n v="50095.3"/>
    <n v="40527.71"/>
    <n v="70"/>
    <n v="54"/>
    <n v="17083.8"/>
    <n v="1384.38"/>
    <x v="1"/>
    <x v="0"/>
  </r>
  <r>
    <s v="R00749"/>
    <x v="0"/>
    <n v="109"/>
    <x v="5"/>
    <n v="92694.35"/>
    <n v="58257.31"/>
    <n v="40"/>
    <n v="18"/>
    <n v="13866.75"/>
    <n v="0"/>
    <x v="0"/>
    <x v="0"/>
  </r>
  <r>
    <s v="R01597"/>
    <x v="3"/>
    <n v="76"/>
    <x v="5"/>
    <n v="66499.600000000006"/>
    <n v="60849.7"/>
    <n v="46"/>
    <n v="38"/>
    <n v="31194.11"/>
    <n v="5435.06"/>
    <x v="0"/>
    <x v="0"/>
  </r>
  <r>
    <s v="R00747"/>
    <x v="5"/>
    <n v="95"/>
    <x v="5"/>
    <n v="81215.44"/>
    <n v="59506.06"/>
    <n v="36"/>
    <n v="19"/>
    <n v="22557.3"/>
    <n v="5362.11"/>
    <x v="0"/>
    <x v="0"/>
  </r>
  <r>
    <s v="R00280"/>
    <x v="3"/>
    <n v="7"/>
    <x v="5"/>
    <n v="4000"/>
    <n v="4194.3900000000003"/>
    <n v="58"/>
    <n v="30"/>
    <n v="14691.07"/>
    <n v="0"/>
    <x v="0"/>
    <x v="0"/>
  </r>
  <r>
    <s v="R01450"/>
    <x v="4"/>
    <n v="46"/>
    <x v="5"/>
    <n v="55784.7"/>
    <n v="54318.69"/>
    <n v="13"/>
    <n v="20"/>
    <n v="35920.51"/>
    <n v="2038.78"/>
    <x v="0"/>
    <x v="0"/>
  </r>
  <r>
    <s v="R01184"/>
    <x v="4"/>
    <n v="39"/>
    <x v="5"/>
    <n v="39340.28"/>
    <n v="41132.199999999997"/>
    <n v="36"/>
    <n v="7"/>
    <n v="26536.23"/>
    <n v="2169.11"/>
    <x v="0"/>
    <x v="0"/>
  </r>
  <r>
    <s v="R00023"/>
    <x v="2"/>
    <n v="68"/>
    <x v="5"/>
    <n v="72082.11"/>
    <n v="57180.480000000003"/>
    <n v="29"/>
    <n v="45"/>
    <n v="27034.67"/>
    <n v="0"/>
    <x v="0"/>
    <x v="0"/>
  </r>
  <r>
    <s v="R01545"/>
    <x v="1"/>
    <n v="90"/>
    <x v="5"/>
    <n v="96685.01"/>
    <n v="79822.84"/>
    <n v="10"/>
    <n v="3"/>
    <n v="78975.539999999994"/>
    <n v="0"/>
    <x v="0"/>
    <x v="0"/>
  </r>
  <r>
    <s v="R01054"/>
    <x v="4"/>
    <n v="18"/>
    <x v="5"/>
    <n v="28278.06"/>
    <n v="24877.47"/>
    <n v="62"/>
    <n v="38"/>
    <n v="77411.259999999995"/>
    <n v="1521.32"/>
    <x v="0"/>
    <x v="0"/>
  </r>
  <r>
    <s v="R00613"/>
    <x v="2"/>
    <n v="117"/>
    <x v="5"/>
    <n v="79824.92"/>
    <n v="51104.24"/>
    <n v="32"/>
    <n v="21"/>
    <n v="53808.21"/>
    <n v="0"/>
    <x v="0"/>
    <x v="0"/>
  </r>
  <r>
    <s v="R01445"/>
    <x v="0"/>
    <n v="52"/>
    <x v="5"/>
    <n v="55197.96"/>
    <n v="49742.03"/>
    <n v="46"/>
    <n v="22"/>
    <n v="20653.189999999999"/>
    <n v="6013.54"/>
    <x v="0"/>
    <x v="0"/>
  </r>
  <r>
    <s v="R00515"/>
    <x v="3"/>
    <n v="65"/>
    <x v="5"/>
    <n v="55421.16"/>
    <n v="50798.69"/>
    <n v="68"/>
    <n v="63"/>
    <n v="27.04"/>
    <n v="3044.51"/>
    <x v="1"/>
    <x v="0"/>
  </r>
  <r>
    <s v="R01060"/>
    <x v="2"/>
    <n v="111"/>
    <x v="5"/>
    <n v="98675.13"/>
    <n v="62715.1"/>
    <n v="23"/>
    <n v="45"/>
    <n v="27092.77"/>
    <n v="6348.28"/>
    <x v="0"/>
    <x v="0"/>
  </r>
  <r>
    <s v="R01499"/>
    <x v="0"/>
    <n v="52"/>
    <x v="5"/>
    <n v="58976.67"/>
    <n v="46989.05"/>
    <n v="28"/>
    <n v="15"/>
    <n v="71594.62"/>
    <n v="0"/>
    <x v="1"/>
    <x v="0"/>
  </r>
  <r>
    <s v="R00526"/>
    <x v="5"/>
    <n v="42"/>
    <x v="5"/>
    <n v="41925.160000000003"/>
    <n v="36588.120000000003"/>
    <n v="55"/>
    <n v="0"/>
    <n v="11301.12"/>
    <n v="2011.35"/>
    <x v="0"/>
    <x v="0"/>
  </r>
  <r>
    <s v="R00499"/>
    <x v="2"/>
    <n v="24"/>
    <x v="5"/>
    <n v="13915.38"/>
    <n v="9077.51"/>
    <n v="10"/>
    <n v="40"/>
    <n v="49132.61"/>
    <n v="0"/>
    <x v="0"/>
    <x v="0"/>
  </r>
  <r>
    <s v="R00971"/>
    <x v="5"/>
    <n v="116"/>
    <x v="5"/>
    <n v="94574.15"/>
    <n v="63984.32"/>
    <n v="15"/>
    <n v="67"/>
    <n v="88108.46"/>
    <n v="0"/>
    <x v="0"/>
    <x v="0"/>
  </r>
  <r>
    <s v="R01338"/>
    <x v="4"/>
    <n v="38"/>
    <x v="5"/>
    <n v="38756.019999999997"/>
    <n v="28764.01"/>
    <n v="20"/>
    <n v="39"/>
    <n v="46548.66"/>
    <n v="1061.0899999999999"/>
    <x v="0"/>
    <x v="0"/>
  </r>
  <r>
    <s v="R00645"/>
    <x v="5"/>
    <n v="6"/>
    <x v="5"/>
    <n v="13935.24"/>
    <n v="9263.3799999999992"/>
    <n v="45"/>
    <n v="27"/>
    <n v="27299.759999999998"/>
    <n v="0"/>
    <x v="0"/>
    <x v="0"/>
  </r>
  <r>
    <s v="R01428"/>
    <x v="0"/>
    <n v="17"/>
    <x v="5"/>
    <n v="20760.03"/>
    <n v="12593.26"/>
    <n v="19"/>
    <n v="32"/>
    <n v="13981.39"/>
    <n v="5008.01"/>
    <x v="0"/>
    <x v="0"/>
  </r>
  <r>
    <s v="R00644"/>
    <x v="3"/>
    <n v="22"/>
    <x v="5"/>
    <n v="31773.23"/>
    <n v="23061.49"/>
    <n v="52"/>
    <n v="18"/>
    <n v="0"/>
    <n v="7835.7"/>
    <x v="0"/>
    <x v="0"/>
  </r>
  <r>
    <s v="R00077"/>
    <x v="3"/>
    <n v="87"/>
    <x v="5"/>
    <n v="74151.48"/>
    <n v="63132.51"/>
    <n v="19"/>
    <n v="24"/>
    <n v="0"/>
    <n v="0"/>
    <x v="0"/>
    <x v="0"/>
  </r>
  <r>
    <s v="R00348"/>
    <x v="1"/>
    <n v="22"/>
    <x v="5"/>
    <n v="23112.79"/>
    <n v="17516.18"/>
    <n v="76"/>
    <n v="22"/>
    <n v="5936.28"/>
    <n v="2937.68"/>
    <x v="0"/>
    <x v="0"/>
  </r>
  <r>
    <s v="R00674"/>
    <x v="3"/>
    <n v="84"/>
    <x v="5"/>
    <n v="85012.6"/>
    <n v="62444.57"/>
    <n v="44"/>
    <n v="0"/>
    <n v="36529.82"/>
    <n v="7052.66"/>
    <x v="0"/>
    <x v="0"/>
  </r>
  <r>
    <s v="R00803"/>
    <x v="3"/>
    <n v="41"/>
    <x v="5"/>
    <n v="48436.7"/>
    <n v="33833.24"/>
    <n v="38"/>
    <n v="52"/>
    <n v="42252.75"/>
    <n v="3248.15"/>
    <x v="1"/>
    <x v="0"/>
  </r>
  <r>
    <s v="R01105"/>
    <x v="0"/>
    <n v="113"/>
    <x v="5"/>
    <n v="106733.12"/>
    <n v="88213.61"/>
    <n v="47"/>
    <n v="62"/>
    <n v="24331.599999999999"/>
    <n v="0"/>
    <x v="0"/>
    <x v="0"/>
  </r>
  <r>
    <s v="R00276"/>
    <x v="3"/>
    <n v="120"/>
    <x v="5"/>
    <n v="99168.77"/>
    <n v="76156.639999999999"/>
    <n v="42"/>
    <n v="19"/>
    <n v="21200.15"/>
    <n v="0"/>
    <x v="0"/>
    <x v="0"/>
  </r>
  <r>
    <s v="R00195"/>
    <x v="4"/>
    <n v="79"/>
    <x v="5"/>
    <n v="66851.740000000005"/>
    <n v="43521.15"/>
    <n v="36"/>
    <n v="41"/>
    <n v="46776.12"/>
    <n v="0"/>
    <x v="0"/>
    <x v="0"/>
  </r>
  <r>
    <s v="R01325"/>
    <x v="5"/>
    <n v="66"/>
    <x v="5"/>
    <n v="61412.83"/>
    <n v="65873.61"/>
    <n v="47"/>
    <n v="37"/>
    <n v="11393.65"/>
    <n v="2431.46"/>
    <x v="1"/>
    <x v="0"/>
  </r>
  <r>
    <s v="R01090"/>
    <x v="1"/>
    <n v="62"/>
    <x v="5"/>
    <n v="47829.47"/>
    <n v="38635.730000000003"/>
    <n v="28"/>
    <n v="27"/>
    <n v="64251.71"/>
    <n v="7559.68"/>
    <x v="0"/>
    <x v="0"/>
  </r>
  <r>
    <s v="R00820"/>
    <x v="3"/>
    <n v="97"/>
    <x v="5"/>
    <n v="73328.14"/>
    <n v="72278.05"/>
    <n v="42"/>
    <n v="8"/>
    <n v="61999.47"/>
    <n v="4761.54"/>
    <x v="0"/>
    <x v="0"/>
  </r>
  <r>
    <s v="R00230"/>
    <x v="4"/>
    <n v="58"/>
    <x v="5"/>
    <n v="61434.75"/>
    <n v="50338.57"/>
    <n v="32"/>
    <n v="47"/>
    <n v="44473.61"/>
    <n v="725.03"/>
    <x v="0"/>
    <x v="0"/>
  </r>
  <r>
    <s v="R01323"/>
    <x v="1"/>
    <n v="14"/>
    <x v="5"/>
    <n v="30248.19"/>
    <n v="28681.52"/>
    <n v="22"/>
    <n v="50"/>
    <n v="74673.81"/>
    <n v="0"/>
    <x v="1"/>
    <x v="0"/>
  </r>
  <r>
    <s v="R01245"/>
    <x v="1"/>
    <n v="54"/>
    <x v="5"/>
    <n v="42058.28"/>
    <n v="32091.78"/>
    <n v="42"/>
    <n v="36"/>
    <n v="21814.09"/>
    <n v="9259.39"/>
    <x v="0"/>
    <x v="0"/>
  </r>
  <r>
    <s v="R00065"/>
    <x v="4"/>
    <n v="107"/>
    <x v="6"/>
    <n v="83054.710000000006"/>
    <n v="60312.47"/>
    <n v="28"/>
    <n v="21"/>
    <n v="26200.9"/>
    <n v="0"/>
    <x v="0"/>
    <x v="0"/>
  </r>
  <r>
    <s v="R00951"/>
    <x v="2"/>
    <n v="71"/>
    <x v="6"/>
    <n v="61988.959999999999"/>
    <n v="65987.75"/>
    <n v="32"/>
    <n v="30"/>
    <n v="15951.91"/>
    <n v="2452.86"/>
    <x v="0"/>
    <x v="0"/>
  </r>
  <r>
    <s v="R00943"/>
    <x v="2"/>
    <n v="15"/>
    <x v="6"/>
    <n v="15731.52"/>
    <n v="15327.42"/>
    <n v="17"/>
    <n v="39"/>
    <n v="36019.129999999997"/>
    <n v="1459.34"/>
    <x v="1"/>
    <x v="0"/>
  </r>
  <r>
    <s v="R00746"/>
    <x v="2"/>
    <n v="115"/>
    <x v="6"/>
    <n v="107471.41"/>
    <n v="88884.63"/>
    <n v="31"/>
    <n v="8"/>
    <n v="27722.93"/>
    <n v="5308.2"/>
    <x v="0"/>
    <x v="0"/>
  </r>
  <r>
    <s v="R00527"/>
    <x v="3"/>
    <n v="73"/>
    <x v="6"/>
    <n v="67376.11"/>
    <n v="54984.86"/>
    <n v="26"/>
    <n v="21"/>
    <n v="25400.46"/>
    <n v="4102.3999999999996"/>
    <x v="0"/>
    <x v="0"/>
  </r>
  <r>
    <s v="R00953"/>
    <x v="2"/>
    <n v="94"/>
    <x v="6"/>
    <n v="72080.100000000006"/>
    <n v="59488.66"/>
    <n v="17"/>
    <n v="40"/>
    <n v="29294.26"/>
    <n v="7968.16"/>
    <x v="0"/>
    <x v="0"/>
  </r>
  <r>
    <s v="R00553"/>
    <x v="5"/>
    <n v="49"/>
    <x v="6"/>
    <n v="38615.67"/>
    <n v="33812.35"/>
    <n v="20"/>
    <n v="26"/>
    <n v="21858.799999999999"/>
    <n v="3823.19"/>
    <x v="0"/>
    <x v="0"/>
  </r>
  <r>
    <s v="R00629"/>
    <x v="4"/>
    <n v="32"/>
    <x v="6"/>
    <n v="31220.31"/>
    <n v="33006.660000000003"/>
    <n v="62"/>
    <n v="32"/>
    <n v="3333.24"/>
    <n v="0"/>
    <x v="0"/>
    <x v="0"/>
  </r>
  <r>
    <s v="R00633"/>
    <x v="1"/>
    <n v="89"/>
    <x v="6"/>
    <n v="74561.259999999995"/>
    <n v="50083.64"/>
    <n v="28"/>
    <n v="15"/>
    <n v="70532.02"/>
    <n v="5545.61"/>
    <x v="0"/>
    <x v="0"/>
  </r>
  <r>
    <s v="R00640"/>
    <x v="5"/>
    <n v="30"/>
    <x v="6"/>
    <n v="29894.34"/>
    <n v="22063.040000000001"/>
    <n v="60"/>
    <n v="13"/>
    <n v="13485.39"/>
    <n v="1536.81"/>
    <x v="0"/>
    <x v="0"/>
  </r>
  <r>
    <s v="R00834"/>
    <x v="2"/>
    <n v="66"/>
    <x v="6"/>
    <n v="50772.89"/>
    <n v="54379.28"/>
    <n v="70"/>
    <n v="66"/>
    <n v="45578"/>
    <n v="0"/>
    <x v="0"/>
    <x v="0"/>
  </r>
  <r>
    <s v="R00656"/>
    <x v="1"/>
    <n v="41"/>
    <x v="6"/>
    <n v="39016.78"/>
    <n v="22883.8"/>
    <n v="28"/>
    <n v="0"/>
    <n v="60739.360000000001"/>
    <n v="1739.84"/>
    <x v="0"/>
    <x v="0"/>
  </r>
  <r>
    <s v="R01330"/>
    <x v="4"/>
    <n v="18"/>
    <x v="6"/>
    <n v="10408.49"/>
    <n v="7421.08"/>
    <n v="42"/>
    <n v="43"/>
    <n v="78565.75"/>
    <n v="2843.04"/>
    <x v="0"/>
    <x v="0"/>
  </r>
  <r>
    <s v="R01434"/>
    <x v="4"/>
    <n v="58"/>
    <x v="6"/>
    <n v="48741.52"/>
    <n v="38475.980000000003"/>
    <n v="41"/>
    <n v="52"/>
    <n v="8915.56"/>
    <n v="7718.02"/>
    <x v="0"/>
    <x v="0"/>
  </r>
  <r>
    <s v="R00681"/>
    <x v="3"/>
    <n v="10"/>
    <x v="6"/>
    <n v="15761.18"/>
    <n v="15548.28"/>
    <n v="29"/>
    <n v="12"/>
    <n v="24818.71"/>
    <n v="3912.1"/>
    <x v="0"/>
    <x v="0"/>
  </r>
  <r>
    <s v="R00789"/>
    <x v="0"/>
    <n v="88"/>
    <x v="6"/>
    <n v="74206.86"/>
    <n v="66007.460000000006"/>
    <n v="28"/>
    <n v="37"/>
    <n v="0"/>
    <n v="5316.79"/>
    <x v="1"/>
    <x v="0"/>
  </r>
  <r>
    <s v="R00710"/>
    <x v="3"/>
    <n v="48"/>
    <x v="6"/>
    <n v="48914.22"/>
    <n v="39805.43"/>
    <n v="27"/>
    <n v="42"/>
    <n v="37277.230000000003"/>
    <n v="0"/>
    <x v="0"/>
    <x v="0"/>
  </r>
  <r>
    <s v="R00762"/>
    <x v="2"/>
    <n v="106"/>
    <x v="6"/>
    <n v="87202.25"/>
    <n v="63058.66"/>
    <n v="10"/>
    <n v="4"/>
    <n v="73621.05"/>
    <n v="930.19"/>
    <x v="0"/>
    <x v="0"/>
  </r>
  <r>
    <s v="R00182"/>
    <x v="1"/>
    <n v="117"/>
    <x v="6"/>
    <n v="99922.19"/>
    <n v="63220.71"/>
    <n v="16"/>
    <n v="20"/>
    <n v="73186.539999999994"/>
    <n v="6752.82"/>
    <x v="0"/>
    <x v="0"/>
  </r>
  <r>
    <s v="R00751"/>
    <x v="1"/>
    <n v="91"/>
    <x v="6"/>
    <n v="88696.76"/>
    <n v="56509.279999999999"/>
    <n v="16"/>
    <n v="32"/>
    <n v="68843.34"/>
    <n v="41.6"/>
    <x v="0"/>
    <x v="0"/>
  </r>
  <r>
    <s v="R01371"/>
    <x v="2"/>
    <n v="94"/>
    <x v="6"/>
    <n v="87087.96"/>
    <n v="84273.76"/>
    <n v="35"/>
    <n v="0"/>
    <n v="40583.129999999997"/>
    <n v="7142.06"/>
    <x v="0"/>
    <x v="0"/>
  </r>
  <r>
    <s v="R01341"/>
    <x v="5"/>
    <n v="70"/>
    <x v="6"/>
    <n v="54893.88"/>
    <n v="51387.05"/>
    <n v="12"/>
    <n v="22"/>
    <n v="36399.629999999997"/>
    <n v="5156.17"/>
    <x v="0"/>
    <x v="0"/>
  </r>
  <r>
    <s v="R00552"/>
    <x v="4"/>
    <n v="79"/>
    <x v="6"/>
    <n v="68262.37"/>
    <n v="71847.850000000006"/>
    <n v="29"/>
    <n v="10"/>
    <n v="12971.19"/>
    <n v="10772.33"/>
    <x v="0"/>
    <x v="0"/>
  </r>
  <r>
    <s v="R00623"/>
    <x v="1"/>
    <n v="4"/>
    <x v="6"/>
    <n v="8641.42"/>
    <n v="8239.1299999999992"/>
    <n v="10"/>
    <n v="18"/>
    <n v="32938.94"/>
    <n v="205.65"/>
    <x v="0"/>
    <x v="0"/>
  </r>
  <r>
    <s v="R01436"/>
    <x v="1"/>
    <n v="55"/>
    <x v="6"/>
    <n v="40229.42"/>
    <n v="30426.19"/>
    <n v="54"/>
    <n v="0"/>
    <n v="23181.040000000001"/>
    <n v="3428.67"/>
    <x v="0"/>
    <x v="0"/>
  </r>
  <r>
    <s v="R01279"/>
    <x v="1"/>
    <n v="98"/>
    <x v="6"/>
    <n v="57413.65"/>
    <n v="46834.55"/>
    <n v="33"/>
    <n v="1"/>
    <n v="53810.69"/>
    <n v="5610.61"/>
    <x v="0"/>
    <x v="0"/>
  </r>
  <r>
    <s v="R00910"/>
    <x v="1"/>
    <n v="28"/>
    <x v="6"/>
    <n v="27066.41"/>
    <n v="18838.509999999998"/>
    <n v="10"/>
    <n v="24"/>
    <n v="34817.07"/>
    <n v="4958.63"/>
    <x v="0"/>
    <x v="0"/>
  </r>
  <r>
    <s v="R00221"/>
    <x v="1"/>
    <n v="58"/>
    <x v="6"/>
    <n v="45369.53"/>
    <n v="33258.629999999997"/>
    <n v="39"/>
    <n v="48"/>
    <n v="9586.7000000000007"/>
    <n v="0"/>
    <x v="0"/>
    <x v="0"/>
  </r>
  <r>
    <s v="R00901"/>
    <x v="2"/>
    <n v="102"/>
    <x v="6"/>
    <n v="77330.28"/>
    <n v="68570.63"/>
    <n v="49"/>
    <n v="30"/>
    <n v="55045.36"/>
    <n v="0"/>
    <x v="0"/>
    <x v="0"/>
  </r>
  <r>
    <s v="R01462"/>
    <x v="1"/>
    <n v="29"/>
    <x v="6"/>
    <n v="35784.839999999997"/>
    <n v="25154.68"/>
    <n v="62"/>
    <n v="31"/>
    <n v="69902.97"/>
    <n v="6657.02"/>
    <x v="0"/>
    <x v="0"/>
  </r>
  <r>
    <s v="R00158"/>
    <x v="4"/>
    <n v="44"/>
    <x v="6"/>
    <n v="46663.73"/>
    <n v="39482.57"/>
    <n v="45"/>
    <n v="47"/>
    <n v="42037.75"/>
    <n v="8523.7999999999993"/>
    <x v="0"/>
    <x v="0"/>
  </r>
  <r>
    <s v="R00202"/>
    <x v="0"/>
    <n v="114"/>
    <x v="6"/>
    <n v="101233.13"/>
    <n v="85106.85"/>
    <n v="48"/>
    <n v="65"/>
    <n v="42063.85"/>
    <n v="6245.94"/>
    <x v="0"/>
    <x v="0"/>
  </r>
  <r>
    <s v="R00898"/>
    <x v="4"/>
    <n v="26"/>
    <x v="6"/>
    <n v="35388.86"/>
    <n v="23020.63"/>
    <n v="33"/>
    <n v="23"/>
    <n v="99037.88"/>
    <n v="2421.19"/>
    <x v="0"/>
    <x v="0"/>
  </r>
  <r>
    <s v="R00886"/>
    <x v="3"/>
    <n v="64"/>
    <x v="6"/>
    <n v="38327.06"/>
    <n v="38566.660000000003"/>
    <n v="59"/>
    <n v="15"/>
    <n v="30586.38"/>
    <n v="0"/>
    <x v="0"/>
    <x v="0"/>
  </r>
  <r>
    <s v="R01291"/>
    <x v="2"/>
    <n v="54"/>
    <x v="6"/>
    <n v="57362.51"/>
    <n v="56680.92"/>
    <n v="17"/>
    <n v="32"/>
    <n v="21162"/>
    <n v="0"/>
    <x v="0"/>
    <x v="0"/>
  </r>
  <r>
    <s v="R00592"/>
    <x v="1"/>
    <n v="19"/>
    <x v="6"/>
    <n v="22402.22"/>
    <n v="18750.900000000001"/>
    <n v="56"/>
    <n v="43"/>
    <n v="51536.07"/>
    <n v="13621.75"/>
    <x v="0"/>
    <x v="0"/>
  </r>
  <r>
    <s v="R00865"/>
    <x v="5"/>
    <n v="70"/>
    <x v="6"/>
    <n v="61001.49"/>
    <n v="40618.26"/>
    <n v="42"/>
    <n v="28"/>
    <n v="5120.68"/>
    <n v="5416.55"/>
    <x v="0"/>
    <x v="0"/>
  </r>
  <r>
    <s v="R00605"/>
    <x v="3"/>
    <n v="120"/>
    <x v="6"/>
    <n v="113218.23"/>
    <n v="68837.740000000005"/>
    <n v="32"/>
    <n v="1"/>
    <n v="50045.8"/>
    <n v="850.75"/>
    <x v="0"/>
    <x v="0"/>
  </r>
  <r>
    <s v="R00170"/>
    <x v="0"/>
    <n v="58"/>
    <x v="6"/>
    <n v="39591.620000000003"/>
    <n v="30231.9"/>
    <n v="37"/>
    <n v="33"/>
    <n v="9288.18"/>
    <n v="0"/>
    <x v="0"/>
    <x v="0"/>
  </r>
  <r>
    <s v="R00896"/>
    <x v="5"/>
    <n v="6"/>
    <x v="6"/>
    <n v="9862.5300000000007"/>
    <n v="10279.969999999999"/>
    <n v="57"/>
    <n v="16"/>
    <n v="11831.85"/>
    <n v="3832.36"/>
    <x v="0"/>
    <x v="0"/>
  </r>
  <r>
    <s v="R01264"/>
    <x v="0"/>
    <n v="31"/>
    <x v="6"/>
    <n v="30072.87"/>
    <n v="18964.8"/>
    <n v="42"/>
    <n v="37"/>
    <n v="32076.31"/>
    <n v="5092.78"/>
    <x v="0"/>
    <x v="0"/>
  </r>
  <r>
    <s v="R01368"/>
    <x v="3"/>
    <n v="77"/>
    <x v="6"/>
    <n v="62286.34"/>
    <n v="52290.879999999997"/>
    <n v="69"/>
    <n v="37"/>
    <n v="0"/>
    <n v="3558.59"/>
    <x v="0"/>
    <x v="0"/>
  </r>
  <r>
    <s v="R00005"/>
    <x v="2"/>
    <n v="11"/>
    <x v="6"/>
    <n v="11932.76"/>
    <n v="8338.7099999999991"/>
    <n v="41"/>
    <n v="34"/>
    <n v="64482.94"/>
    <n v="0"/>
    <x v="0"/>
    <x v="0"/>
  </r>
  <r>
    <s v="R01241"/>
    <x v="0"/>
    <n v="108"/>
    <x v="6"/>
    <n v="90169.04"/>
    <n v="87918.94"/>
    <n v="17"/>
    <n v="3"/>
    <n v="20197.97"/>
    <n v="0"/>
    <x v="0"/>
    <x v="0"/>
  </r>
  <r>
    <s v="R01513"/>
    <x v="4"/>
    <n v="20"/>
    <x v="6"/>
    <n v="23541.89"/>
    <n v="19755.73"/>
    <n v="49"/>
    <n v="52"/>
    <n v="47161.27"/>
    <n v="6900.38"/>
    <x v="1"/>
    <x v="0"/>
  </r>
  <r>
    <s v="R00997"/>
    <x v="1"/>
    <n v="82"/>
    <x v="6"/>
    <n v="89307.39"/>
    <n v="59057.14"/>
    <n v="30"/>
    <n v="33"/>
    <n v="0"/>
    <n v="0"/>
    <x v="0"/>
    <x v="0"/>
  </r>
  <r>
    <s v="R00998"/>
    <x v="3"/>
    <n v="106"/>
    <x v="6"/>
    <n v="87035.72"/>
    <n v="85755.43"/>
    <n v="31"/>
    <n v="36"/>
    <n v="26202.49"/>
    <n v="3081.64"/>
    <x v="0"/>
    <x v="0"/>
  </r>
  <r>
    <s v="R00999"/>
    <x v="4"/>
    <n v="41"/>
    <x v="6"/>
    <n v="42882.29"/>
    <n v="45148.92"/>
    <n v="58"/>
    <n v="29"/>
    <n v="0"/>
    <n v="7891.97"/>
    <x v="0"/>
    <x v="0"/>
  </r>
  <r>
    <s v="R01142"/>
    <x v="4"/>
    <n v="35"/>
    <x v="6"/>
    <n v="30732.63"/>
    <n v="20193.97"/>
    <n v="40"/>
    <n v="8"/>
    <n v="56223.16"/>
    <n v="0"/>
    <x v="1"/>
    <x v="0"/>
  </r>
  <r>
    <s v="R01076"/>
    <x v="2"/>
    <n v="96"/>
    <x v="6"/>
    <n v="80985.62"/>
    <n v="47250.91"/>
    <n v="23"/>
    <n v="32"/>
    <n v="0"/>
    <n v="8222.77"/>
    <x v="0"/>
    <x v="0"/>
  </r>
  <r>
    <s v="R01010"/>
    <x v="2"/>
    <n v="55"/>
    <x v="6"/>
    <n v="48866.46"/>
    <n v="44716.07"/>
    <n v="20"/>
    <n v="53"/>
    <n v="48738.32"/>
    <n v="4915.63"/>
    <x v="0"/>
    <x v="0"/>
  </r>
  <r>
    <s v="R01234"/>
    <x v="5"/>
    <n v="59"/>
    <x v="6"/>
    <n v="42360.49"/>
    <n v="45175"/>
    <n v="26"/>
    <n v="11"/>
    <n v="57337.86"/>
    <n v="3775.4"/>
    <x v="0"/>
    <x v="0"/>
  </r>
  <r>
    <s v="R00456"/>
    <x v="3"/>
    <n v="3"/>
    <x v="6"/>
    <n v="8263.25"/>
    <n v="6126.05"/>
    <n v="31"/>
    <n v="32"/>
    <n v="99256.87"/>
    <n v="7026.51"/>
    <x v="0"/>
    <x v="0"/>
  </r>
  <r>
    <s v="R00309"/>
    <x v="3"/>
    <n v="117"/>
    <x v="6"/>
    <n v="100575.02"/>
    <n v="66115.839999999997"/>
    <n v="51"/>
    <n v="55"/>
    <n v="2754.17"/>
    <n v="5189.47"/>
    <x v="0"/>
    <x v="0"/>
  </r>
  <r>
    <s v="R01233"/>
    <x v="2"/>
    <n v="103"/>
    <x v="6"/>
    <n v="77969.77"/>
    <n v="50803.839999999997"/>
    <n v="51"/>
    <n v="5"/>
    <n v="32727.51"/>
    <n v="774.89"/>
    <x v="0"/>
    <x v="0"/>
  </r>
  <r>
    <s v="R01021"/>
    <x v="5"/>
    <n v="64"/>
    <x v="6"/>
    <n v="56517.03"/>
    <n v="48318.11"/>
    <n v="45"/>
    <n v="40"/>
    <n v="19443.14"/>
    <n v="0"/>
    <x v="1"/>
    <x v="0"/>
  </r>
  <r>
    <s v="R01026"/>
    <x v="1"/>
    <n v="27"/>
    <x v="6"/>
    <n v="21335.93"/>
    <n v="20361.919999999998"/>
    <n v="25"/>
    <n v="21"/>
    <n v="61781.29"/>
    <n v="0"/>
    <x v="1"/>
    <x v="0"/>
  </r>
  <r>
    <s v="R00437"/>
    <x v="3"/>
    <n v="43"/>
    <x v="6"/>
    <n v="34739.33"/>
    <n v="35281.019999999997"/>
    <n v="33"/>
    <n v="9"/>
    <n v="47089.02"/>
    <n v="3481.21"/>
    <x v="0"/>
    <x v="0"/>
  </r>
  <r>
    <s v="R00003"/>
    <x v="5"/>
    <n v="45"/>
    <x v="6"/>
    <n v="45418.879999999997"/>
    <n v="40867.879999999997"/>
    <n v="31"/>
    <n v="18"/>
    <n v="44559.65"/>
    <n v="5861.23"/>
    <x v="0"/>
    <x v="0"/>
  </r>
  <r>
    <s v="R01556"/>
    <x v="0"/>
    <n v="47"/>
    <x v="6"/>
    <n v="46241.279999999999"/>
    <n v="48650.99"/>
    <n v="45"/>
    <n v="25"/>
    <n v="57948.97"/>
    <n v="5275.98"/>
    <x v="0"/>
    <x v="0"/>
  </r>
  <r>
    <s v="R01527"/>
    <x v="5"/>
    <n v="65"/>
    <x v="6"/>
    <n v="54148.06"/>
    <n v="39391.620000000003"/>
    <n v="48"/>
    <n v="37"/>
    <n v="45477.05"/>
    <n v="9234.09"/>
    <x v="0"/>
    <x v="0"/>
  </r>
  <r>
    <s v="R00428"/>
    <x v="0"/>
    <n v="55"/>
    <x v="6"/>
    <n v="62166.51"/>
    <n v="58280.6"/>
    <n v="24"/>
    <n v="27"/>
    <n v="88194.53"/>
    <n v="6555.82"/>
    <x v="0"/>
    <x v="0"/>
  </r>
  <r>
    <s v="R00128"/>
    <x v="0"/>
    <n v="78"/>
    <x v="6"/>
    <n v="54929.24"/>
    <n v="35285.160000000003"/>
    <n v="49"/>
    <n v="42"/>
    <n v="40572.17"/>
    <n v="0"/>
    <x v="0"/>
    <x v="0"/>
  </r>
  <r>
    <s v="R01531"/>
    <x v="5"/>
    <n v="111"/>
    <x v="6"/>
    <n v="101165.75"/>
    <n v="76141.64"/>
    <n v="27"/>
    <n v="14"/>
    <n v="40587.449999999997"/>
    <n v="1350.49"/>
    <x v="0"/>
    <x v="0"/>
  </r>
  <r>
    <s v="R01547"/>
    <x v="1"/>
    <n v="51"/>
    <x v="6"/>
    <n v="41598.160000000003"/>
    <n v="26212.720000000001"/>
    <n v="57"/>
    <n v="38"/>
    <n v="0"/>
    <n v="11484.19"/>
    <x v="0"/>
    <x v="0"/>
  </r>
  <r>
    <s v="R01020"/>
    <x v="0"/>
    <n v="34"/>
    <x v="6"/>
    <n v="22941.360000000001"/>
    <n v="13418.53"/>
    <n v="70"/>
    <n v="65"/>
    <n v="61267.040000000001"/>
    <n v="6019.45"/>
    <x v="0"/>
    <x v="0"/>
  </r>
  <r>
    <s v="R00479"/>
    <x v="1"/>
    <n v="75"/>
    <x v="6"/>
    <n v="46130.73"/>
    <n v="45802.66"/>
    <n v="29"/>
    <n v="46"/>
    <n v="35743.279999999999"/>
    <n v="324.43"/>
    <x v="0"/>
    <x v="0"/>
  </r>
  <r>
    <s v="R01218"/>
    <x v="2"/>
    <n v="52"/>
    <x v="6"/>
    <n v="60637.61"/>
    <n v="48088.02"/>
    <n v="32"/>
    <n v="30"/>
    <n v="70648.77"/>
    <n v="0"/>
    <x v="0"/>
    <x v="0"/>
  </r>
  <r>
    <s v="R00977"/>
    <x v="2"/>
    <n v="10"/>
    <x v="6"/>
    <n v="17599.810000000001"/>
    <n v="14985.33"/>
    <n v="45"/>
    <n v="0"/>
    <n v="75537.11"/>
    <n v="4106.34"/>
    <x v="0"/>
    <x v="0"/>
  </r>
  <r>
    <s v="R01252"/>
    <x v="3"/>
    <n v="116"/>
    <x v="6"/>
    <n v="97827.17"/>
    <n v="77151.95"/>
    <n v="71"/>
    <n v="30"/>
    <n v="69379.98"/>
    <n v="7083.81"/>
    <x v="0"/>
    <x v="0"/>
  </r>
  <r>
    <s v="R00292"/>
    <x v="2"/>
    <n v="120"/>
    <x v="6"/>
    <n v="94137.16"/>
    <n v="87988.49"/>
    <n v="30"/>
    <n v="50"/>
    <n v="27275.46"/>
    <n v="0"/>
    <x v="0"/>
    <x v="0"/>
  </r>
  <r>
    <s v="R00238"/>
    <x v="5"/>
    <n v="39"/>
    <x v="6"/>
    <n v="37971.32"/>
    <n v="35995.360000000001"/>
    <n v="64"/>
    <n v="19"/>
    <n v="60307.19"/>
    <n v="0"/>
    <x v="0"/>
    <x v="0"/>
  </r>
  <r>
    <s v="R01174"/>
    <x v="0"/>
    <n v="86"/>
    <x v="6"/>
    <n v="83695.61"/>
    <n v="66928.960000000006"/>
    <n v="30"/>
    <n v="24"/>
    <n v="50640.76"/>
    <n v="10401.32"/>
    <x v="0"/>
    <x v="0"/>
  </r>
  <r>
    <s v="R01581"/>
    <x v="0"/>
    <n v="3"/>
    <x v="6"/>
    <n v="4000"/>
    <n v="2500"/>
    <n v="69"/>
    <n v="23"/>
    <n v="34412.65"/>
    <n v="3951.21"/>
    <x v="0"/>
    <x v="0"/>
  </r>
  <r>
    <s v="R00962"/>
    <x v="2"/>
    <n v="104"/>
    <x v="6"/>
    <n v="79829.66"/>
    <n v="75110.77"/>
    <n v="42"/>
    <n v="7"/>
    <n v="27675.68"/>
    <n v="0"/>
    <x v="0"/>
    <x v="0"/>
  </r>
  <r>
    <s v="R00487"/>
    <x v="3"/>
    <n v="10"/>
    <x v="6"/>
    <n v="12414"/>
    <n v="10770.54"/>
    <n v="44"/>
    <n v="11"/>
    <n v="43358.28"/>
    <n v="9638.68"/>
    <x v="0"/>
    <x v="0"/>
  </r>
  <r>
    <s v="R00331"/>
    <x v="3"/>
    <n v="59"/>
    <x v="6"/>
    <n v="59973.32"/>
    <n v="60382.82"/>
    <n v="36"/>
    <n v="10"/>
    <n v="63099.69"/>
    <n v="3146.47"/>
    <x v="0"/>
    <x v="0"/>
  </r>
  <r>
    <s v="R00804"/>
    <x v="0"/>
    <n v="42"/>
    <x v="7"/>
    <n v="32416.58"/>
    <n v="31146.7"/>
    <n v="37"/>
    <n v="38"/>
    <n v="35231.15"/>
    <n v="6736.3"/>
    <x v="0"/>
    <x v="0"/>
  </r>
  <r>
    <s v="R00175"/>
    <x v="2"/>
    <n v="71"/>
    <x v="7"/>
    <n v="65210.77"/>
    <n v="51628.09"/>
    <n v="56"/>
    <n v="28"/>
    <n v="26769.49"/>
    <n v="3318.02"/>
    <x v="1"/>
    <x v="0"/>
  </r>
  <r>
    <s v="R00329"/>
    <x v="2"/>
    <n v="17"/>
    <x v="7"/>
    <n v="15924.58"/>
    <n v="9281.52"/>
    <n v="47"/>
    <n v="32"/>
    <n v="22076.560000000001"/>
    <n v="8319.6299999999992"/>
    <x v="1"/>
    <x v="0"/>
  </r>
  <r>
    <s v="R01070"/>
    <x v="1"/>
    <n v="57"/>
    <x v="7"/>
    <n v="59236.57"/>
    <n v="46430.47"/>
    <n v="52"/>
    <n v="6"/>
    <n v="82078.12"/>
    <n v="385.26"/>
    <x v="1"/>
    <x v="0"/>
  </r>
  <r>
    <s v="R01215"/>
    <x v="4"/>
    <n v="52"/>
    <x v="7"/>
    <n v="43647.79"/>
    <n v="46236.14"/>
    <n v="45"/>
    <n v="25"/>
    <n v="74185.919999999998"/>
    <n v="0"/>
    <x v="0"/>
    <x v="0"/>
  </r>
  <r>
    <s v="R01314"/>
    <x v="4"/>
    <n v="64"/>
    <x v="7"/>
    <n v="57604.01"/>
    <n v="49513.06"/>
    <n v="67"/>
    <n v="0"/>
    <n v="43004.53"/>
    <n v="0"/>
    <x v="0"/>
    <x v="0"/>
  </r>
  <r>
    <s v="R00765"/>
    <x v="4"/>
    <n v="71"/>
    <x v="7"/>
    <n v="64730.12"/>
    <n v="57517.25"/>
    <n v="42"/>
    <n v="27"/>
    <n v="46843.32"/>
    <n v="614.82000000000005"/>
    <x v="0"/>
    <x v="0"/>
  </r>
  <r>
    <s v="R01126"/>
    <x v="2"/>
    <n v="35"/>
    <x v="7"/>
    <n v="4000"/>
    <n v="2500"/>
    <n v="38"/>
    <n v="13"/>
    <n v="54529.51"/>
    <n v="0"/>
    <x v="0"/>
    <x v="0"/>
  </r>
  <r>
    <s v="R01487"/>
    <x v="0"/>
    <n v="115"/>
    <x v="7"/>
    <n v="92335.88"/>
    <n v="97720.35"/>
    <n v="60"/>
    <n v="37"/>
    <n v="19243.849999999999"/>
    <n v="2311.0100000000002"/>
    <x v="0"/>
    <x v="0"/>
  </r>
  <r>
    <s v="R00845"/>
    <x v="1"/>
    <n v="31"/>
    <x v="7"/>
    <n v="28565.78"/>
    <n v="25750.51"/>
    <n v="35"/>
    <n v="44"/>
    <n v="36725.06"/>
    <n v="7991.55"/>
    <x v="0"/>
    <x v="0"/>
  </r>
  <r>
    <s v="R01553"/>
    <x v="5"/>
    <n v="32"/>
    <x v="7"/>
    <n v="42982.99"/>
    <n v="27669.1"/>
    <n v="36"/>
    <n v="55"/>
    <n v="38999.79"/>
    <n v="5385.78"/>
    <x v="0"/>
    <x v="0"/>
  </r>
  <r>
    <s v="R00764"/>
    <x v="4"/>
    <n v="102"/>
    <x v="7"/>
    <n v="74478.36"/>
    <n v="73724.009999999995"/>
    <n v="22"/>
    <n v="25"/>
    <n v="9083.81"/>
    <n v="2206.73"/>
    <x v="1"/>
    <x v="0"/>
  </r>
  <r>
    <s v="R00691"/>
    <x v="5"/>
    <n v="36"/>
    <x v="7"/>
    <n v="45718.49"/>
    <n v="39997.019999999997"/>
    <n v="29"/>
    <n v="36"/>
    <n v="46346.79"/>
    <n v="7792.24"/>
    <x v="0"/>
    <x v="0"/>
  </r>
  <r>
    <s v="R00394"/>
    <x v="3"/>
    <n v="103"/>
    <x v="7"/>
    <n v="95051.81"/>
    <n v="65096.6"/>
    <n v="59"/>
    <n v="34"/>
    <n v="17777.66"/>
    <n v="0"/>
    <x v="1"/>
    <x v="0"/>
  </r>
  <r>
    <s v="R00621"/>
    <x v="0"/>
    <n v="92"/>
    <x v="7"/>
    <n v="68489.740000000005"/>
    <n v="53660.24"/>
    <n v="26"/>
    <n v="37"/>
    <n v="21798.93"/>
    <n v="5727.77"/>
    <x v="1"/>
    <x v="0"/>
  </r>
  <r>
    <s v="R00399"/>
    <x v="2"/>
    <n v="13"/>
    <x v="7"/>
    <n v="31635.53"/>
    <n v="22259.32"/>
    <n v="55"/>
    <n v="33"/>
    <n v="1511.92"/>
    <n v="5221.62"/>
    <x v="0"/>
    <x v="0"/>
  </r>
  <r>
    <s v="R01441"/>
    <x v="0"/>
    <n v="53"/>
    <x v="7"/>
    <n v="49869.97"/>
    <n v="29160.48"/>
    <n v="10"/>
    <n v="32"/>
    <n v="51998.94"/>
    <n v="9652.26"/>
    <x v="0"/>
    <x v="0"/>
  </r>
  <r>
    <s v="R01551"/>
    <x v="3"/>
    <n v="109"/>
    <x v="7"/>
    <n v="98051.97"/>
    <n v="68190.83"/>
    <n v="24"/>
    <n v="13"/>
    <n v="62746.02"/>
    <n v="6930.34"/>
    <x v="0"/>
    <x v="0"/>
  </r>
  <r>
    <s v="R00323"/>
    <x v="1"/>
    <n v="108"/>
    <x v="7"/>
    <n v="94585.44"/>
    <n v="91352"/>
    <n v="43"/>
    <n v="17"/>
    <n v="60849.279999999999"/>
    <n v="0"/>
    <x v="1"/>
    <x v="0"/>
  </r>
  <r>
    <s v="R01588"/>
    <x v="5"/>
    <n v="4"/>
    <x v="7"/>
    <n v="20990.91"/>
    <n v="17256.73"/>
    <n v="28"/>
    <n v="23"/>
    <n v="9364.25"/>
    <n v="2678.03"/>
    <x v="0"/>
    <x v="0"/>
  </r>
  <r>
    <s v="R01388"/>
    <x v="4"/>
    <n v="32"/>
    <x v="7"/>
    <n v="15732.19"/>
    <n v="11617.79"/>
    <n v="42"/>
    <n v="35"/>
    <n v="28363.86"/>
    <n v="13493.35"/>
    <x v="0"/>
    <x v="0"/>
  </r>
  <r>
    <s v="R00704"/>
    <x v="5"/>
    <n v="70"/>
    <x v="7"/>
    <n v="62741.75"/>
    <n v="43006.64"/>
    <n v="41"/>
    <n v="57"/>
    <n v="31838.04"/>
    <n v="0"/>
    <x v="0"/>
    <x v="0"/>
  </r>
  <r>
    <s v="R01305"/>
    <x v="4"/>
    <n v="117"/>
    <x v="7"/>
    <n v="78412.59"/>
    <n v="52086.7"/>
    <n v="39"/>
    <n v="42"/>
    <n v="51563.72"/>
    <n v="865.24"/>
    <x v="0"/>
    <x v="0"/>
  </r>
  <r>
    <s v="R01542"/>
    <x v="2"/>
    <n v="49"/>
    <x v="7"/>
    <n v="40652.699999999997"/>
    <n v="36928.660000000003"/>
    <n v="60"/>
    <n v="40"/>
    <n v="64036.92"/>
    <n v="7953.09"/>
    <x v="0"/>
    <x v="0"/>
  </r>
  <r>
    <s v="R01311"/>
    <x v="2"/>
    <n v="66"/>
    <x v="7"/>
    <n v="55600.01"/>
    <n v="40091.15"/>
    <n v="29"/>
    <n v="24"/>
    <n v="59916.35"/>
    <n v="10196.76"/>
    <x v="1"/>
    <x v="0"/>
  </r>
  <r>
    <s v="R00076"/>
    <x v="3"/>
    <n v="56"/>
    <x v="7"/>
    <n v="48787.71"/>
    <n v="52388.4"/>
    <n v="55"/>
    <n v="24"/>
    <n v="78348.399999999994"/>
    <n v="441.9"/>
    <x v="0"/>
    <x v="0"/>
  </r>
  <r>
    <s v="R01315"/>
    <x v="3"/>
    <n v="25"/>
    <x v="7"/>
    <n v="22825.73"/>
    <n v="21888.57"/>
    <n v="50"/>
    <n v="12"/>
    <n v="2818.42"/>
    <n v="11210.02"/>
    <x v="0"/>
    <x v="0"/>
  </r>
  <r>
    <s v="R00690"/>
    <x v="3"/>
    <n v="120"/>
    <x v="7"/>
    <n v="76232.95"/>
    <n v="57776.92"/>
    <n v="37"/>
    <n v="25"/>
    <n v="57202.5"/>
    <n v="8107.83"/>
    <x v="0"/>
    <x v="0"/>
  </r>
  <r>
    <s v="R00805"/>
    <x v="1"/>
    <n v="106"/>
    <x v="7"/>
    <n v="79424.740000000005"/>
    <n v="56507.7"/>
    <n v="39"/>
    <n v="27"/>
    <n v="27856.89"/>
    <n v="3517.22"/>
    <x v="0"/>
    <x v="0"/>
  </r>
  <r>
    <s v="R01198"/>
    <x v="0"/>
    <n v="29"/>
    <x v="7"/>
    <n v="20098.07"/>
    <n v="17881.7"/>
    <n v="35"/>
    <n v="25"/>
    <n v="3480.73"/>
    <n v="15395.53"/>
    <x v="0"/>
    <x v="0"/>
  </r>
  <r>
    <s v="R01568"/>
    <x v="4"/>
    <n v="5"/>
    <x v="7"/>
    <n v="16860.64"/>
    <n v="13509.66"/>
    <n v="21"/>
    <n v="34"/>
    <n v="60578.07"/>
    <n v="2909.37"/>
    <x v="1"/>
    <x v="0"/>
  </r>
  <r>
    <s v="R00347"/>
    <x v="1"/>
    <n v="82"/>
    <x v="7"/>
    <n v="56362.27"/>
    <n v="54165.63"/>
    <n v="51"/>
    <n v="8"/>
    <n v="15147.98"/>
    <n v="641.78"/>
    <x v="0"/>
    <x v="0"/>
  </r>
  <r>
    <s v="R00663"/>
    <x v="1"/>
    <n v="27"/>
    <x v="7"/>
    <n v="32908.97"/>
    <n v="34377.879999999997"/>
    <n v="43"/>
    <n v="71"/>
    <n v="60213.9"/>
    <n v="0"/>
    <x v="1"/>
    <x v="0"/>
  </r>
  <r>
    <s v="R00677"/>
    <x v="3"/>
    <n v="58"/>
    <x v="7"/>
    <n v="48461.14"/>
    <n v="42901.32"/>
    <n v="50"/>
    <n v="54"/>
    <n v="14337.69"/>
    <n v="3910.7"/>
    <x v="1"/>
    <x v="0"/>
  </r>
  <r>
    <s v="R01353"/>
    <x v="5"/>
    <n v="63"/>
    <x v="7"/>
    <n v="41707.74"/>
    <n v="30057.119999999999"/>
    <n v="43"/>
    <n v="30"/>
    <n v="39740.720000000001"/>
    <n v="4283.5200000000004"/>
    <x v="0"/>
    <x v="0"/>
  </r>
  <r>
    <s v="R00194"/>
    <x v="2"/>
    <n v="40"/>
    <x v="7"/>
    <n v="32514.6"/>
    <n v="27994.41"/>
    <n v="49"/>
    <n v="3"/>
    <n v="33279.760000000002"/>
    <n v="5228.8900000000003"/>
    <x v="0"/>
    <x v="0"/>
  </r>
  <r>
    <s v="R00346"/>
    <x v="1"/>
    <n v="60"/>
    <x v="7"/>
    <n v="49310.87"/>
    <n v="46235.12"/>
    <n v="56"/>
    <n v="22"/>
    <n v="56160.59"/>
    <n v="4431.95"/>
    <x v="0"/>
    <x v="0"/>
  </r>
  <r>
    <s v="R01117"/>
    <x v="0"/>
    <n v="114"/>
    <x v="7"/>
    <n v="97944.98"/>
    <n v="95561.83"/>
    <n v="44"/>
    <n v="37"/>
    <n v="50676.26"/>
    <n v="0"/>
    <x v="0"/>
    <x v="0"/>
  </r>
  <r>
    <s v="R00819"/>
    <x v="2"/>
    <n v="21"/>
    <x v="7"/>
    <n v="24193.43"/>
    <n v="20597.22"/>
    <n v="50"/>
    <n v="38"/>
    <n v="76106.27"/>
    <n v="6077.25"/>
    <x v="0"/>
    <x v="0"/>
  </r>
  <r>
    <s v="R00338"/>
    <x v="1"/>
    <n v="75"/>
    <x v="7"/>
    <n v="68381.45"/>
    <n v="59842.47"/>
    <n v="10"/>
    <n v="28"/>
    <n v="32720.93"/>
    <n v="6780.66"/>
    <x v="0"/>
    <x v="0"/>
  </r>
  <r>
    <s v="R01565"/>
    <x v="3"/>
    <n v="82"/>
    <x v="7"/>
    <n v="69145.63"/>
    <n v="66553.75"/>
    <n v="24"/>
    <n v="10"/>
    <n v="0"/>
    <n v="941.85"/>
    <x v="0"/>
    <x v="0"/>
  </r>
  <r>
    <s v="R00686"/>
    <x v="0"/>
    <n v="112"/>
    <x v="7"/>
    <n v="111755.54"/>
    <n v="82635.179999999993"/>
    <n v="33"/>
    <n v="14"/>
    <n v="20204.71"/>
    <n v="3023.28"/>
    <x v="0"/>
    <x v="0"/>
  </r>
  <r>
    <s v="R00112"/>
    <x v="3"/>
    <n v="50"/>
    <x v="7"/>
    <n v="59809.01"/>
    <n v="54305.21"/>
    <n v="52"/>
    <n v="18"/>
    <n v="21699.8"/>
    <n v="1195.4100000000001"/>
    <x v="1"/>
    <x v="0"/>
  </r>
  <r>
    <s v="R01563"/>
    <x v="3"/>
    <n v="43"/>
    <x v="7"/>
    <n v="40288.15"/>
    <n v="34769.1"/>
    <n v="33"/>
    <n v="0"/>
    <n v="20417.45"/>
    <n v="952.13"/>
    <x v="0"/>
    <x v="0"/>
  </r>
  <r>
    <s v="R00411"/>
    <x v="1"/>
    <n v="9"/>
    <x v="7"/>
    <n v="4000"/>
    <n v="3409.25"/>
    <n v="46"/>
    <n v="41"/>
    <n v="28061.03"/>
    <n v="0"/>
    <x v="0"/>
    <x v="0"/>
  </r>
  <r>
    <s v="R01320"/>
    <x v="2"/>
    <n v="101"/>
    <x v="7"/>
    <n v="79599.520000000004"/>
    <n v="59600.4"/>
    <n v="65"/>
    <n v="26"/>
    <n v="43293.68"/>
    <n v="7157.8"/>
    <x v="0"/>
    <x v="0"/>
  </r>
  <r>
    <s v="R01210"/>
    <x v="1"/>
    <n v="51"/>
    <x v="7"/>
    <n v="40243.54"/>
    <n v="37368.92"/>
    <n v="54"/>
    <n v="45"/>
    <n v="87519.48"/>
    <n v="472.67"/>
    <x v="0"/>
    <x v="0"/>
  </r>
  <r>
    <s v="R00376"/>
    <x v="1"/>
    <n v="13"/>
    <x v="7"/>
    <n v="39598.300000000003"/>
    <n v="28613.18"/>
    <n v="68"/>
    <n v="62"/>
    <n v="20065.62"/>
    <n v="0"/>
    <x v="0"/>
    <x v="0"/>
  </r>
  <r>
    <s v="R00006"/>
    <x v="4"/>
    <n v="18"/>
    <x v="7"/>
    <n v="31539.46"/>
    <n v="23605.74"/>
    <n v="27"/>
    <n v="48"/>
    <n v="23524.89"/>
    <n v="8291.39"/>
    <x v="0"/>
    <x v="0"/>
  </r>
  <r>
    <s v="R00197"/>
    <x v="1"/>
    <n v="80"/>
    <x v="7"/>
    <n v="49164.13"/>
    <n v="40846.11"/>
    <n v="62"/>
    <n v="43"/>
    <n v="0"/>
    <n v="0"/>
    <x v="0"/>
    <x v="0"/>
  </r>
  <r>
    <s v="R00379"/>
    <x v="3"/>
    <n v="9"/>
    <x v="7"/>
    <n v="9078.5400000000009"/>
    <n v="6512.11"/>
    <n v="21"/>
    <n v="0"/>
    <n v="71046.48"/>
    <n v="2099.5100000000002"/>
    <x v="0"/>
    <x v="0"/>
  </r>
  <r>
    <s v="R00835"/>
    <x v="3"/>
    <n v="35"/>
    <x v="7"/>
    <n v="53464.87"/>
    <n v="48146.25"/>
    <n v="38"/>
    <n v="37"/>
    <n v="38761.870000000003"/>
    <n v="0"/>
    <x v="0"/>
    <x v="0"/>
  </r>
  <r>
    <s v="R00637"/>
    <x v="4"/>
    <n v="19"/>
    <x v="7"/>
    <n v="31394.37"/>
    <n v="24109.63"/>
    <n v="21"/>
    <n v="31"/>
    <n v="59920.53"/>
    <n v="11941.82"/>
    <x v="0"/>
    <x v="0"/>
  </r>
  <r>
    <s v="R00057"/>
    <x v="2"/>
    <n v="46"/>
    <x v="7"/>
    <n v="47575.26"/>
    <n v="41870.720000000001"/>
    <n v="57"/>
    <n v="22"/>
    <n v="36171.32"/>
    <n v="1498.27"/>
    <x v="0"/>
    <x v="0"/>
  </r>
  <r>
    <s v="R00084"/>
    <x v="4"/>
    <n v="65"/>
    <x v="7"/>
    <n v="54247.61"/>
    <n v="43354.5"/>
    <n v="83"/>
    <n v="28"/>
    <n v="55894.79"/>
    <n v="8553.69"/>
    <x v="0"/>
    <x v="0"/>
  </r>
  <r>
    <s v="R00092"/>
    <x v="3"/>
    <n v="10"/>
    <x v="7"/>
    <n v="6630.72"/>
    <n v="5640.03"/>
    <n v="10"/>
    <n v="42"/>
    <n v="55023.09"/>
    <n v="8469.52"/>
    <x v="0"/>
    <x v="0"/>
  </r>
  <r>
    <s v="R00113"/>
    <x v="2"/>
    <n v="43"/>
    <x v="7"/>
    <n v="32918.239999999998"/>
    <n v="34105.99"/>
    <n v="44"/>
    <n v="11"/>
    <n v="37562.76"/>
    <n v="0"/>
    <x v="0"/>
    <x v="0"/>
  </r>
  <r>
    <s v="R00855"/>
    <x v="4"/>
    <n v="93"/>
    <x v="7"/>
    <n v="80640.679999999993"/>
    <n v="72406.02"/>
    <n v="49"/>
    <n v="48"/>
    <n v="0"/>
    <n v="8627.36"/>
    <x v="0"/>
    <x v="0"/>
  </r>
  <r>
    <s v="R01465"/>
    <x v="5"/>
    <n v="54"/>
    <x v="7"/>
    <n v="57233.11"/>
    <n v="43022.75"/>
    <n v="59"/>
    <n v="25"/>
    <n v="34454.93"/>
    <n v="9213.8700000000008"/>
    <x v="0"/>
    <x v="0"/>
  </r>
  <r>
    <s v="R01593"/>
    <x v="4"/>
    <n v="16"/>
    <x v="7"/>
    <n v="34177.550000000003"/>
    <n v="36854.629999999997"/>
    <n v="59"/>
    <n v="0"/>
    <n v="19562.490000000002"/>
    <n v="1188.0999999999999"/>
    <x v="0"/>
    <x v="0"/>
  </r>
  <r>
    <s v="R00146"/>
    <x v="4"/>
    <n v="60"/>
    <x v="7"/>
    <n v="54190.6"/>
    <n v="36058.720000000001"/>
    <n v="51"/>
    <n v="55"/>
    <n v="65489.45"/>
    <n v="0"/>
    <x v="0"/>
    <x v="0"/>
  </r>
  <r>
    <s v="R00491"/>
    <x v="5"/>
    <n v="3"/>
    <x v="7"/>
    <n v="4000"/>
    <n v="3580.42"/>
    <n v="46"/>
    <n v="11"/>
    <n v="26704.73"/>
    <n v="9321.2800000000007"/>
    <x v="0"/>
    <x v="0"/>
  </r>
  <r>
    <s v="R00031"/>
    <x v="2"/>
    <n v="19"/>
    <x v="7"/>
    <n v="17394.349999999999"/>
    <n v="11550.33"/>
    <n v="18"/>
    <n v="53"/>
    <n v="61725.35"/>
    <n v="7588.72"/>
    <x v="0"/>
    <x v="0"/>
  </r>
  <r>
    <s v="R00543"/>
    <x v="1"/>
    <n v="18"/>
    <x v="7"/>
    <n v="13763.05"/>
    <n v="9807.01"/>
    <n v="59"/>
    <n v="59"/>
    <n v="81992.639999999999"/>
    <n v="0"/>
    <x v="0"/>
    <x v="0"/>
  </r>
  <r>
    <s v="R01016"/>
    <x v="4"/>
    <n v="77"/>
    <x v="7"/>
    <n v="63603.29"/>
    <n v="66655.789999999994"/>
    <n v="37"/>
    <n v="26"/>
    <n v="86153.12"/>
    <n v="0"/>
    <x v="0"/>
    <x v="0"/>
  </r>
  <r>
    <s v="R00575"/>
    <x v="0"/>
    <n v="18"/>
    <x v="7"/>
    <n v="11987.92"/>
    <n v="9894.17"/>
    <n v="46"/>
    <n v="37"/>
    <n v="56027.1"/>
    <n v="3090.86"/>
    <x v="1"/>
    <x v="0"/>
  </r>
  <r>
    <s v="R00251"/>
    <x v="4"/>
    <n v="116"/>
    <x v="7"/>
    <n v="94421.39"/>
    <n v="88102.720000000001"/>
    <n v="37"/>
    <n v="19"/>
    <n v="92947.06"/>
    <n v="2117"/>
    <x v="0"/>
    <x v="0"/>
  </r>
  <r>
    <s v="R00241"/>
    <x v="0"/>
    <n v="22"/>
    <x v="7"/>
    <n v="26157.61"/>
    <n v="17848.03"/>
    <n v="42"/>
    <n v="12"/>
    <n v="56992.12"/>
    <n v="4010.77"/>
    <x v="0"/>
    <x v="0"/>
  </r>
  <r>
    <s v="R00440"/>
    <x v="3"/>
    <n v="66"/>
    <x v="7"/>
    <n v="56932.51"/>
    <n v="49261.43"/>
    <n v="22"/>
    <n v="28"/>
    <n v="22021.66"/>
    <n v="0"/>
    <x v="1"/>
    <x v="0"/>
  </r>
  <r>
    <s v="R00945"/>
    <x v="5"/>
    <n v="93"/>
    <x v="7"/>
    <n v="96423.7"/>
    <n v="65820.639999999999"/>
    <n v="37"/>
    <n v="19"/>
    <n v="17814.759999999998"/>
    <n v="88.15"/>
    <x v="0"/>
    <x v="0"/>
  </r>
  <r>
    <s v="R00228"/>
    <x v="2"/>
    <n v="80"/>
    <x v="7"/>
    <n v="86030.53"/>
    <n v="76934.320000000007"/>
    <n v="50"/>
    <n v="67"/>
    <n v="48296.94"/>
    <n v="1908.81"/>
    <x v="0"/>
    <x v="0"/>
  </r>
  <r>
    <s v="R01032"/>
    <x v="1"/>
    <n v="71"/>
    <x v="7"/>
    <n v="61330.9"/>
    <n v="58764.72"/>
    <n v="41"/>
    <n v="21"/>
    <n v="69096.2"/>
    <n v="0"/>
    <x v="0"/>
    <x v="0"/>
  </r>
  <r>
    <s v="R01272"/>
    <x v="5"/>
    <n v="108"/>
    <x v="7"/>
    <n v="94941.61"/>
    <n v="70724.72"/>
    <n v="30"/>
    <n v="3"/>
    <n v="28807.3"/>
    <n v="717.14"/>
    <x v="0"/>
    <x v="0"/>
  </r>
  <r>
    <s v="R01275"/>
    <x v="1"/>
    <n v="38"/>
    <x v="7"/>
    <n v="34292.71"/>
    <n v="25306.74"/>
    <n v="27"/>
    <n v="50"/>
    <n v="6093"/>
    <n v="4333.2"/>
    <x v="0"/>
    <x v="0"/>
  </r>
  <r>
    <s v="R00179"/>
    <x v="1"/>
    <n v="49"/>
    <x v="7"/>
    <n v="55324.18"/>
    <n v="38038.980000000003"/>
    <n v="65"/>
    <n v="19"/>
    <n v="24031.22"/>
    <n v="1146.94"/>
    <x v="0"/>
    <x v="0"/>
  </r>
  <r>
    <s v="R01281"/>
    <x v="2"/>
    <n v="75"/>
    <x v="7"/>
    <n v="65102.49"/>
    <n v="55940.74"/>
    <n v="52"/>
    <n v="23"/>
    <n v="0"/>
    <n v="501.82"/>
    <x v="0"/>
    <x v="0"/>
  </r>
  <r>
    <s v="R01268"/>
    <x v="1"/>
    <n v="37"/>
    <x v="7"/>
    <n v="33114.199999999997"/>
    <n v="24588.01"/>
    <n v="20"/>
    <n v="42"/>
    <n v="33834.03"/>
    <n v="4448.97"/>
    <x v="0"/>
    <x v="0"/>
  </r>
  <r>
    <s v="R00484"/>
    <x v="1"/>
    <n v="44"/>
    <x v="7"/>
    <n v="38851.370000000003"/>
    <n v="30318.2"/>
    <n v="17"/>
    <n v="21"/>
    <n v="30351.64"/>
    <n v="227.81"/>
    <x v="0"/>
    <x v="0"/>
  </r>
  <r>
    <s v="R01036"/>
    <x v="5"/>
    <n v="71"/>
    <x v="7"/>
    <n v="68579.17"/>
    <n v="67470.210000000006"/>
    <n v="63"/>
    <n v="7"/>
    <n v="43628.39"/>
    <n v="0"/>
    <x v="1"/>
    <x v="0"/>
  </r>
  <r>
    <s v="R00067"/>
    <x v="1"/>
    <n v="96"/>
    <x v="7"/>
    <n v="93763.27"/>
    <n v="82966.36"/>
    <n v="69"/>
    <n v="54"/>
    <n v="60614.8"/>
    <n v="0"/>
    <x v="1"/>
    <x v="0"/>
  </r>
  <r>
    <s v="R01379"/>
    <x v="2"/>
    <n v="84"/>
    <x v="7"/>
    <n v="78304.42"/>
    <n v="45631.87"/>
    <n v="32"/>
    <n v="36"/>
    <n v="27995.84"/>
    <n v="1791.12"/>
    <x v="0"/>
    <x v="0"/>
  </r>
  <r>
    <s v="R01595"/>
    <x v="4"/>
    <n v="67"/>
    <x v="7"/>
    <n v="62022.81"/>
    <n v="60241.68"/>
    <n v="38"/>
    <n v="53"/>
    <n v="5885.45"/>
    <n v="5811.41"/>
    <x v="0"/>
    <x v="0"/>
  </r>
  <r>
    <s v="R01164"/>
    <x v="3"/>
    <n v="77"/>
    <x v="7"/>
    <n v="61525.46"/>
    <n v="56883.43"/>
    <n v="17"/>
    <n v="29"/>
    <n v="60215.79"/>
    <n v="8405.52"/>
    <x v="0"/>
    <x v="0"/>
  </r>
  <r>
    <s v="R00730"/>
    <x v="5"/>
    <n v="20"/>
    <x v="7"/>
    <n v="21307.73"/>
    <n v="20616.689999999999"/>
    <n v="43"/>
    <n v="30"/>
    <n v="8925.85"/>
    <n v="0"/>
    <x v="0"/>
    <x v="0"/>
  </r>
  <r>
    <s v="R01049"/>
    <x v="1"/>
    <n v="104"/>
    <x v="7"/>
    <n v="82024.69"/>
    <n v="72491.78"/>
    <n v="42"/>
    <n v="0"/>
    <n v="17158.28"/>
    <n v="2450.9299999999998"/>
    <x v="0"/>
    <x v="0"/>
  </r>
  <r>
    <s v="R01277"/>
    <x v="0"/>
    <n v="49"/>
    <x v="7"/>
    <n v="42748.639999999999"/>
    <n v="27612.55"/>
    <n v="15"/>
    <n v="9"/>
    <n v="67085.600000000006"/>
    <n v="1466.03"/>
    <x v="0"/>
    <x v="0"/>
  </r>
  <r>
    <s v="R00478"/>
    <x v="5"/>
    <n v="18"/>
    <x v="7"/>
    <n v="30153.55"/>
    <n v="21689.4"/>
    <n v="63"/>
    <n v="44"/>
    <n v="39230.879999999997"/>
    <n v="2433.2800000000002"/>
    <x v="0"/>
    <x v="0"/>
  </r>
  <r>
    <s v="R01190"/>
    <x v="5"/>
    <n v="57"/>
    <x v="8"/>
    <n v="54589.54"/>
    <n v="40061.79"/>
    <n v="48"/>
    <n v="21"/>
    <n v="0"/>
    <n v="3978.14"/>
    <x v="1"/>
    <x v="0"/>
  </r>
  <r>
    <s v="R00682"/>
    <x v="0"/>
    <n v="64"/>
    <x v="8"/>
    <n v="61777.71"/>
    <n v="38086.92"/>
    <n v="12"/>
    <n v="8"/>
    <n v="33455.35"/>
    <n v="0"/>
    <x v="0"/>
    <x v="0"/>
  </r>
  <r>
    <s v="R01106"/>
    <x v="5"/>
    <n v="56"/>
    <x v="8"/>
    <n v="46822.85"/>
    <n v="50560.98"/>
    <n v="42"/>
    <n v="16"/>
    <n v="7802.97"/>
    <n v="0"/>
    <x v="0"/>
    <x v="0"/>
  </r>
  <r>
    <s v="R00810"/>
    <x v="4"/>
    <n v="56"/>
    <x v="8"/>
    <n v="51910.11"/>
    <n v="32376.58"/>
    <n v="22"/>
    <n v="31"/>
    <n v="0"/>
    <n v="1548.45"/>
    <x v="0"/>
    <x v="0"/>
  </r>
  <r>
    <s v="R00799"/>
    <x v="0"/>
    <n v="14"/>
    <x v="8"/>
    <n v="30438.6"/>
    <n v="25810.97"/>
    <n v="24"/>
    <n v="2"/>
    <n v="33887.870000000003"/>
    <n v="9958.85"/>
    <x v="0"/>
    <x v="0"/>
  </r>
  <r>
    <s v="R00985"/>
    <x v="4"/>
    <n v="113"/>
    <x v="8"/>
    <n v="102045.84"/>
    <n v="83222.02"/>
    <n v="18"/>
    <n v="42"/>
    <n v="37133.96"/>
    <n v="1954.25"/>
    <x v="0"/>
    <x v="0"/>
  </r>
  <r>
    <s v="R01506"/>
    <x v="3"/>
    <n v="114"/>
    <x v="8"/>
    <n v="93374.24"/>
    <n v="61224.37"/>
    <n v="28"/>
    <n v="35"/>
    <n v="39824.660000000003"/>
    <n v="7569.98"/>
    <x v="0"/>
    <x v="0"/>
  </r>
  <r>
    <s v="R00279"/>
    <x v="5"/>
    <n v="15"/>
    <x v="8"/>
    <n v="15939.54"/>
    <n v="12351.2"/>
    <n v="26"/>
    <n v="12"/>
    <n v="40715.68"/>
    <n v="4562.8100000000004"/>
    <x v="0"/>
    <x v="0"/>
  </r>
  <r>
    <s v="R01334"/>
    <x v="0"/>
    <n v="26"/>
    <x v="8"/>
    <n v="20445.38"/>
    <n v="18875.080000000002"/>
    <n v="10"/>
    <n v="34"/>
    <n v="0"/>
    <n v="0"/>
    <x v="0"/>
    <x v="0"/>
  </r>
  <r>
    <s v="R00415"/>
    <x v="4"/>
    <n v="66"/>
    <x v="8"/>
    <n v="58399.39"/>
    <n v="51346.33"/>
    <n v="35"/>
    <n v="22"/>
    <n v="30541.78"/>
    <n v="931.81"/>
    <x v="0"/>
    <x v="0"/>
  </r>
  <r>
    <s v="R01119"/>
    <x v="0"/>
    <n v="28"/>
    <x v="8"/>
    <n v="40797.11"/>
    <n v="33383.56"/>
    <n v="28"/>
    <n v="62"/>
    <n v="0"/>
    <n v="0"/>
    <x v="0"/>
    <x v="0"/>
  </r>
  <r>
    <s v="R01583"/>
    <x v="4"/>
    <n v="36"/>
    <x v="8"/>
    <n v="43839.1"/>
    <n v="29226.6"/>
    <n v="24"/>
    <n v="26"/>
    <n v="47090.9"/>
    <n v="10632.77"/>
    <x v="1"/>
    <x v="0"/>
  </r>
  <r>
    <s v="R00184"/>
    <x v="1"/>
    <n v="27"/>
    <x v="8"/>
    <n v="37646.61"/>
    <n v="24720.49"/>
    <n v="31"/>
    <n v="39"/>
    <n v="34078.49"/>
    <n v="5334.67"/>
    <x v="1"/>
    <x v="0"/>
  </r>
  <r>
    <s v="R00316"/>
    <x v="2"/>
    <n v="14"/>
    <x v="8"/>
    <n v="9830.32"/>
    <n v="9514.42"/>
    <n v="27"/>
    <n v="20"/>
    <n v="18060.41"/>
    <n v="4066.5"/>
    <x v="0"/>
    <x v="0"/>
  </r>
  <r>
    <s v="R00711"/>
    <x v="0"/>
    <n v="66"/>
    <x v="8"/>
    <n v="55557.59"/>
    <n v="48974.09"/>
    <n v="39"/>
    <n v="38"/>
    <n v="53026.21"/>
    <n v="808.82"/>
    <x v="0"/>
    <x v="0"/>
  </r>
  <r>
    <s v="R00511"/>
    <x v="0"/>
    <n v="27"/>
    <x v="8"/>
    <n v="22190.69"/>
    <n v="15740.3"/>
    <n v="13"/>
    <n v="59"/>
    <n v="16113.97"/>
    <n v="3284.96"/>
    <x v="1"/>
    <x v="0"/>
  </r>
  <r>
    <s v="R00322"/>
    <x v="1"/>
    <n v="45"/>
    <x v="8"/>
    <n v="28083.72"/>
    <n v="25921.95"/>
    <n v="68"/>
    <n v="34"/>
    <n v="21615.35"/>
    <n v="7971.15"/>
    <x v="0"/>
    <x v="0"/>
  </r>
  <r>
    <s v="R00963"/>
    <x v="5"/>
    <n v="117"/>
    <x v="8"/>
    <n v="95300.3"/>
    <n v="70136"/>
    <n v="57"/>
    <n v="23"/>
    <n v="21046.43"/>
    <n v="0"/>
    <x v="0"/>
    <x v="0"/>
  </r>
  <r>
    <s v="R01394"/>
    <x v="4"/>
    <n v="89"/>
    <x v="8"/>
    <n v="74738.37"/>
    <n v="79898.22"/>
    <n v="46"/>
    <n v="7"/>
    <n v="44754.82"/>
    <n v="0"/>
    <x v="0"/>
    <x v="0"/>
  </r>
  <r>
    <s v="R01175"/>
    <x v="0"/>
    <n v="107"/>
    <x v="8"/>
    <n v="84371.73"/>
    <n v="60691.11"/>
    <n v="50"/>
    <n v="0"/>
    <n v="48232.29"/>
    <n v="10365.950000000001"/>
    <x v="0"/>
    <x v="0"/>
  </r>
  <r>
    <s v="R00281"/>
    <x v="0"/>
    <n v="100"/>
    <x v="8"/>
    <n v="76662.33"/>
    <n v="68656.73"/>
    <n v="51"/>
    <n v="39"/>
    <n v="0"/>
    <n v="5132.71"/>
    <x v="0"/>
    <x v="0"/>
  </r>
  <r>
    <s v="R00947"/>
    <x v="1"/>
    <n v="61"/>
    <x v="8"/>
    <n v="45549.19"/>
    <n v="35514.269999999997"/>
    <n v="44"/>
    <n v="2"/>
    <n v="7106.19"/>
    <n v="0"/>
    <x v="0"/>
    <x v="0"/>
  </r>
  <r>
    <s v="R00694"/>
    <x v="0"/>
    <n v="72"/>
    <x v="8"/>
    <n v="64087.56"/>
    <n v="58519.1"/>
    <n v="56"/>
    <n v="28"/>
    <n v="35775.57"/>
    <n v="10445.69"/>
    <x v="0"/>
    <x v="0"/>
  </r>
  <r>
    <s v="R00231"/>
    <x v="3"/>
    <n v="3"/>
    <x v="8"/>
    <n v="13279.84"/>
    <n v="9245.85"/>
    <n v="34"/>
    <n v="31"/>
    <n v="62305.11"/>
    <n v="4144.51"/>
    <x v="0"/>
    <x v="0"/>
  </r>
  <r>
    <s v="R00742"/>
    <x v="4"/>
    <n v="37"/>
    <x v="8"/>
    <n v="29677"/>
    <n v="19962.21"/>
    <n v="45"/>
    <n v="79"/>
    <n v="15829.57"/>
    <n v="8856.34"/>
    <x v="0"/>
    <x v="0"/>
  </r>
  <r>
    <s v="R01370"/>
    <x v="0"/>
    <n v="118"/>
    <x v="8"/>
    <n v="95467.45"/>
    <n v="91512.27"/>
    <n v="32"/>
    <n v="33"/>
    <n v="74553.100000000006"/>
    <n v="3254.59"/>
    <x v="1"/>
    <x v="0"/>
  </r>
  <r>
    <s v="R01165"/>
    <x v="4"/>
    <n v="57"/>
    <x v="8"/>
    <n v="65981.87"/>
    <n v="45270.84"/>
    <n v="21"/>
    <n v="20"/>
    <n v="7599.88"/>
    <n v="4126.59"/>
    <x v="0"/>
    <x v="0"/>
  </r>
  <r>
    <s v="R00688"/>
    <x v="1"/>
    <n v="70"/>
    <x v="8"/>
    <n v="65025.25"/>
    <n v="59995.56"/>
    <n v="10"/>
    <n v="13"/>
    <n v="49149.51"/>
    <n v="9651.83"/>
    <x v="0"/>
    <x v="0"/>
  </r>
  <r>
    <s v="R01505"/>
    <x v="5"/>
    <n v="60"/>
    <x v="8"/>
    <n v="57487.7"/>
    <n v="34712.93"/>
    <n v="40"/>
    <n v="36"/>
    <n v="51486.559999999998"/>
    <n v="7344.78"/>
    <x v="0"/>
    <x v="0"/>
  </r>
  <r>
    <s v="R01200"/>
    <x v="1"/>
    <n v="17"/>
    <x v="8"/>
    <n v="4000"/>
    <n v="2738.97"/>
    <n v="27"/>
    <n v="34"/>
    <n v="61148.01"/>
    <n v="7951.42"/>
    <x v="0"/>
    <x v="0"/>
  </r>
  <r>
    <s v="R00150"/>
    <x v="0"/>
    <n v="65"/>
    <x v="8"/>
    <n v="63937.22"/>
    <n v="55937.73"/>
    <n v="40"/>
    <n v="22"/>
    <n v="71344.84"/>
    <n v="9789.4699999999993"/>
    <x v="0"/>
    <x v="0"/>
  </r>
  <r>
    <s v="R00815"/>
    <x v="0"/>
    <n v="50"/>
    <x v="8"/>
    <n v="51399.77"/>
    <n v="46342.39"/>
    <n v="23"/>
    <n v="14"/>
    <n v="23762.9"/>
    <n v="8106.39"/>
    <x v="0"/>
    <x v="0"/>
  </r>
  <r>
    <s v="R01524"/>
    <x v="4"/>
    <n v="117"/>
    <x v="8"/>
    <n v="77326.64"/>
    <n v="49665.57"/>
    <n v="19"/>
    <n v="25"/>
    <n v="32272.81"/>
    <n v="0"/>
    <x v="1"/>
    <x v="0"/>
  </r>
  <r>
    <s v="R00442"/>
    <x v="4"/>
    <n v="49"/>
    <x v="8"/>
    <n v="43894.48"/>
    <n v="29985.599999999999"/>
    <n v="49"/>
    <n v="20"/>
    <n v="565.82000000000005"/>
    <n v="5950.88"/>
    <x v="0"/>
    <x v="0"/>
  </r>
  <r>
    <s v="R00218"/>
    <x v="1"/>
    <n v="14"/>
    <x v="8"/>
    <n v="26866.31"/>
    <n v="23573.13"/>
    <n v="17"/>
    <n v="27"/>
    <n v="74860.100000000006"/>
    <n v="2384.5500000000002"/>
    <x v="0"/>
    <x v="0"/>
  </r>
  <r>
    <s v="R00887"/>
    <x v="5"/>
    <n v="50"/>
    <x v="8"/>
    <n v="42587.13"/>
    <n v="33779.94"/>
    <n v="42"/>
    <n v="38"/>
    <n v="38668.44"/>
    <n v="1488.49"/>
    <x v="0"/>
    <x v="0"/>
  </r>
  <r>
    <s v="R00436"/>
    <x v="4"/>
    <n v="52"/>
    <x v="8"/>
    <n v="34667.129999999997"/>
    <n v="34993.42"/>
    <n v="40"/>
    <n v="54"/>
    <n v="67894.05"/>
    <n v="652.41"/>
    <x v="0"/>
    <x v="0"/>
  </r>
  <r>
    <s v="R01382"/>
    <x v="3"/>
    <n v="83"/>
    <x v="8"/>
    <n v="63747.69"/>
    <n v="55675.07"/>
    <n v="65"/>
    <n v="85"/>
    <n v="35432.32"/>
    <n v="1751.06"/>
    <x v="0"/>
    <x v="0"/>
  </r>
  <r>
    <s v="R00433"/>
    <x v="1"/>
    <n v="8"/>
    <x v="8"/>
    <n v="22306.58"/>
    <n v="15265.1"/>
    <n v="33"/>
    <n v="44"/>
    <n v="66068.710000000006"/>
    <n v="15.28"/>
    <x v="1"/>
    <x v="0"/>
  </r>
  <r>
    <s v="R00589"/>
    <x v="3"/>
    <n v="24"/>
    <x v="8"/>
    <n v="15582.58"/>
    <n v="15555.32"/>
    <n v="52"/>
    <n v="0"/>
    <n v="56361.2"/>
    <n v="4142.2700000000004"/>
    <x v="0"/>
    <x v="0"/>
  </r>
  <r>
    <s v="R00129"/>
    <x v="2"/>
    <n v="35"/>
    <x v="8"/>
    <n v="31332.38"/>
    <n v="19436.41"/>
    <n v="28"/>
    <n v="50"/>
    <n v="50274.7"/>
    <n v="7594"/>
    <x v="0"/>
    <x v="0"/>
  </r>
  <r>
    <s v="R01062"/>
    <x v="0"/>
    <n v="91"/>
    <x v="8"/>
    <n v="85780.87"/>
    <n v="61177.75"/>
    <n v="39"/>
    <n v="27"/>
    <n v="0"/>
    <n v="9984.43"/>
    <x v="0"/>
    <x v="0"/>
  </r>
  <r>
    <s v="R01307"/>
    <x v="1"/>
    <n v="20"/>
    <x v="8"/>
    <n v="46565.51"/>
    <n v="44977.09"/>
    <n v="10"/>
    <n v="27"/>
    <n v="69864.399999999994"/>
    <n v="1615.25"/>
    <x v="1"/>
    <x v="0"/>
  </r>
  <r>
    <s v="R01038"/>
    <x v="0"/>
    <n v="107"/>
    <x v="8"/>
    <n v="98204.7"/>
    <n v="65776.7"/>
    <n v="22"/>
    <n v="34"/>
    <n v="49128.58"/>
    <n v="13420.92"/>
    <x v="0"/>
    <x v="0"/>
  </r>
  <r>
    <s v="R01225"/>
    <x v="2"/>
    <n v="105"/>
    <x v="8"/>
    <n v="89614.09"/>
    <n v="93933.07"/>
    <n v="68"/>
    <n v="24"/>
    <n v="31149.88"/>
    <n v="173.15"/>
    <x v="1"/>
    <x v="0"/>
  </r>
  <r>
    <s v="R01550"/>
    <x v="2"/>
    <n v="54"/>
    <x v="8"/>
    <n v="58175.86"/>
    <n v="39595.85"/>
    <n v="39"/>
    <n v="0"/>
    <n v="44232.12"/>
    <n v="6485.72"/>
    <x v="0"/>
    <x v="0"/>
  </r>
  <r>
    <s v="R00183"/>
    <x v="1"/>
    <n v="116"/>
    <x v="8"/>
    <n v="98949.17"/>
    <n v="86191.06"/>
    <n v="44"/>
    <n v="36"/>
    <n v="32247.63"/>
    <n v="9771.9500000000007"/>
    <x v="0"/>
    <x v="0"/>
  </r>
  <r>
    <s v="R01298"/>
    <x v="0"/>
    <n v="10"/>
    <x v="8"/>
    <n v="4000"/>
    <n v="2500"/>
    <n v="42"/>
    <n v="47"/>
    <n v="100391.41"/>
    <n v="4226.6099999999997"/>
    <x v="0"/>
    <x v="0"/>
  </r>
  <r>
    <s v="R00727"/>
    <x v="1"/>
    <n v="13"/>
    <x v="8"/>
    <n v="17361.68"/>
    <n v="11206.92"/>
    <n v="38"/>
    <n v="28"/>
    <n v="63114.95"/>
    <n v="11437.17"/>
    <x v="0"/>
    <x v="0"/>
  </r>
  <r>
    <s v="R00990"/>
    <x v="4"/>
    <n v="28"/>
    <x v="8"/>
    <n v="14134.68"/>
    <n v="12105.78"/>
    <n v="59"/>
    <n v="38"/>
    <n v="28524.880000000001"/>
    <n v="0"/>
    <x v="0"/>
    <x v="0"/>
  </r>
  <r>
    <s v="R01432"/>
    <x v="0"/>
    <n v="57"/>
    <x v="8"/>
    <n v="47495.89"/>
    <n v="46525.53"/>
    <n v="69"/>
    <n v="33"/>
    <n v="46527.66"/>
    <n v="878.09"/>
    <x v="1"/>
    <x v="0"/>
  </r>
  <r>
    <s v="R00732"/>
    <x v="5"/>
    <n v="5"/>
    <x v="8"/>
    <n v="7490.21"/>
    <n v="6900.65"/>
    <n v="34"/>
    <n v="42"/>
    <n v="26554.66"/>
    <n v="1524.21"/>
    <x v="1"/>
    <x v="0"/>
  </r>
  <r>
    <s v="R01211"/>
    <x v="5"/>
    <n v="45"/>
    <x v="8"/>
    <n v="42791.99"/>
    <n v="43221.07"/>
    <n v="51"/>
    <n v="45"/>
    <n v="37144.639999999999"/>
    <n v="12661.82"/>
    <x v="0"/>
    <x v="0"/>
  </r>
  <r>
    <s v="R00920"/>
    <x v="3"/>
    <n v="119"/>
    <x v="8"/>
    <n v="86631.83"/>
    <n v="93264.2"/>
    <n v="64"/>
    <n v="18"/>
    <n v="57369.78"/>
    <n v="7570.58"/>
    <x v="1"/>
    <x v="0"/>
  </r>
  <r>
    <s v="R01452"/>
    <x v="5"/>
    <n v="24"/>
    <x v="8"/>
    <n v="12105.45"/>
    <n v="12044.9"/>
    <n v="23"/>
    <n v="47"/>
    <n v="12194.29"/>
    <n v="5192.3100000000004"/>
    <x v="1"/>
    <x v="0"/>
  </r>
  <r>
    <s v="R00225"/>
    <x v="5"/>
    <n v="40"/>
    <x v="8"/>
    <n v="47582.59"/>
    <n v="29699.49"/>
    <n v="39"/>
    <n v="37"/>
    <n v="69758.080000000002"/>
    <n v="4468.5"/>
    <x v="0"/>
    <x v="0"/>
  </r>
  <r>
    <s v="R01516"/>
    <x v="5"/>
    <n v="56"/>
    <x v="8"/>
    <n v="44508.83"/>
    <n v="47939.54"/>
    <n v="64"/>
    <n v="0"/>
    <n v="19918.7"/>
    <n v="11244.05"/>
    <x v="0"/>
    <x v="0"/>
  </r>
  <r>
    <s v="R00719"/>
    <x v="2"/>
    <n v="99"/>
    <x v="8"/>
    <n v="74351.64"/>
    <n v="62735.040000000001"/>
    <n v="38"/>
    <n v="39"/>
    <n v="46428.37"/>
    <n v="4027.41"/>
    <x v="0"/>
    <x v="0"/>
  </r>
  <r>
    <s v="R00824"/>
    <x v="4"/>
    <n v="73"/>
    <x v="8"/>
    <n v="69871.47"/>
    <n v="67685.73"/>
    <n v="23"/>
    <n v="27"/>
    <n v="12810.83"/>
    <n v="2645.86"/>
    <x v="0"/>
    <x v="0"/>
  </r>
  <r>
    <s v="R00653"/>
    <x v="3"/>
    <n v="115"/>
    <x v="8"/>
    <n v="90796.04"/>
    <n v="89395.16"/>
    <n v="66"/>
    <n v="50"/>
    <n v="20543.64"/>
    <n v="3012.64"/>
    <x v="0"/>
    <x v="0"/>
  </r>
  <r>
    <s v="R00178"/>
    <x v="2"/>
    <n v="75"/>
    <x v="8"/>
    <n v="50706.16"/>
    <n v="42250.41"/>
    <n v="36"/>
    <n v="15"/>
    <n v="9082.9500000000007"/>
    <n v="5477.97"/>
    <x v="0"/>
    <x v="0"/>
  </r>
  <r>
    <s v="R00387"/>
    <x v="3"/>
    <n v="49"/>
    <x v="8"/>
    <n v="38620.959999999999"/>
    <n v="33699.89"/>
    <n v="34"/>
    <n v="4"/>
    <n v="99637.96"/>
    <n v="1917.54"/>
    <x v="0"/>
    <x v="0"/>
  </r>
  <r>
    <s v="R01168"/>
    <x v="1"/>
    <n v="90"/>
    <x v="8"/>
    <n v="76326.64"/>
    <n v="50867.47"/>
    <n v="37"/>
    <n v="41"/>
    <n v="92454.31"/>
    <n v="6087.92"/>
    <x v="0"/>
    <x v="0"/>
  </r>
  <r>
    <s v="R00828"/>
    <x v="2"/>
    <n v="5"/>
    <x v="8"/>
    <n v="4000"/>
    <n v="3068.42"/>
    <n v="26"/>
    <n v="23"/>
    <n v="0"/>
    <n v="3211.82"/>
    <x v="0"/>
    <x v="0"/>
  </r>
  <r>
    <s v="R00463"/>
    <x v="0"/>
    <n v="63"/>
    <x v="8"/>
    <n v="54351.06"/>
    <n v="44599.67"/>
    <n v="37"/>
    <n v="7"/>
    <n v="29062.87"/>
    <n v="3329.15"/>
    <x v="0"/>
    <x v="0"/>
  </r>
  <r>
    <s v="R00372"/>
    <x v="1"/>
    <n v="111"/>
    <x v="8"/>
    <n v="90979.34"/>
    <n v="85681.42"/>
    <n v="28"/>
    <n v="8"/>
    <n v="39636.92"/>
    <n v="8079.05"/>
    <x v="0"/>
    <x v="0"/>
  </r>
  <r>
    <s v="R01519"/>
    <x v="4"/>
    <n v="116"/>
    <x v="8"/>
    <n v="83271.850000000006"/>
    <n v="86048.41"/>
    <n v="52"/>
    <n v="41"/>
    <n v="63000.47"/>
    <n v="0"/>
    <x v="0"/>
    <x v="0"/>
  </r>
  <r>
    <s v="R01319"/>
    <x v="4"/>
    <n v="97"/>
    <x v="8"/>
    <n v="79938.94"/>
    <n v="83005.16"/>
    <n v="10"/>
    <n v="25"/>
    <n v="31063.9"/>
    <n v="0"/>
    <x v="1"/>
    <x v="0"/>
  </r>
  <r>
    <s v="R00366"/>
    <x v="1"/>
    <n v="109"/>
    <x v="8"/>
    <n v="94178.559999999998"/>
    <n v="101116.76"/>
    <n v="62"/>
    <n v="37"/>
    <n v="52685.440000000002"/>
    <n v="581.53"/>
    <x v="0"/>
    <x v="0"/>
  </r>
  <r>
    <s v="R01352"/>
    <x v="2"/>
    <n v="29"/>
    <x v="9"/>
    <n v="12392.23"/>
    <n v="12781.63"/>
    <n v="40"/>
    <n v="35"/>
    <n v="0"/>
    <n v="6825.7"/>
    <x v="0"/>
    <x v="0"/>
  </r>
  <r>
    <s v="R01362"/>
    <x v="0"/>
    <n v="34"/>
    <x v="9"/>
    <n v="49457.62"/>
    <n v="43253.38"/>
    <n v="24"/>
    <n v="17"/>
    <n v="33541.599999999999"/>
    <n v="2131.7800000000002"/>
    <x v="0"/>
    <x v="0"/>
  </r>
  <r>
    <s v="R01144"/>
    <x v="5"/>
    <n v="93"/>
    <x v="9"/>
    <n v="70067.490000000005"/>
    <n v="68870.97"/>
    <n v="50"/>
    <n v="35"/>
    <n v="23655.84"/>
    <n v="11157.56"/>
    <x v="0"/>
    <x v="0"/>
  </r>
  <r>
    <s v="R01139"/>
    <x v="4"/>
    <n v="109"/>
    <x v="9"/>
    <n v="90712.13"/>
    <n v="58166.97"/>
    <n v="10"/>
    <n v="56"/>
    <n v="19745.73"/>
    <n v="3735.19"/>
    <x v="1"/>
    <x v="0"/>
  </r>
  <r>
    <s v="R01149"/>
    <x v="3"/>
    <n v="11"/>
    <x v="9"/>
    <n v="9231.59"/>
    <n v="7533.54"/>
    <n v="45"/>
    <n v="18"/>
    <n v="8828.84"/>
    <n v="0"/>
    <x v="0"/>
    <x v="0"/>
  </r>
  <r>
    <s v="R01263"/>
    <x v="1"/>
    <n v="87"/>
    <x v="9"/>
    <n v="71260.53"/>
    <n v="57519.25"/>
    <n v="51"/>
    <n v="39"/>
    <n v="37049.68"/>
    <n v="0"/>
    <x v="0"/>
    <x v="0"/>
  </r>
  <r>
    <s v="R00786"/>
    <x v="4"/>
    <n v="71"/>
    <x v="9"/>
    <n v="79018.960000000006"/>
    <n v="53720.97"/>
    <n v="38"/>
    <n v="25"/>
    <n v="36916.04"/>
    <n v="4796.79"/>
    <x v="1"/>
    <x v="0"/>
  </r>
  <r>
    <s v="R00957"/>
    <x v="1"/>
    <n v="15"/>
    <x v="9"/>
    <n v="26547.32"/>
    <n v="23741.7"/>
    <n v="78"/>
    <n v="0"/>
    <n v="29394.07"/>
    <n v="5277.07"/>
    <x v="0"/>
    <x v="0"/>
  </r>
  <r>
    <s v="R01255"/>
    <x v="5"/>
    <n v="105"/>
    <x v="9"/>
    <n v="96691.32"/>
    <n v="104163.53"/>
    <n v="35"/>
    <n v="10"/>
    <n v="7043.3"/>
    <n v="3493.75"/>
    <x v="0"/>
    <x v="0"/>
  </r>
  <r>
    <s v="R00139"/>
    <x v="0"/>
    <n v="114"/>
    <x v="9"/>
    <n v="103825.51"/>
    <n v="81763.94"/>
    <n v="10"/>
    <n v="39"/>
    <n v="53699.49"/>
    <n v="0"/>
    <x v="0"/>
    <x v="0"/>
  </r>
  <r>
    <s v="R00942"/>
    <x v="3"/>
    <n v="16"/>
    <x v="9"/>
    <n v="27290.5"/>
    <n v="19196.16"/>
    <n v="15"/>
    <n v="31"/>
    <n v="50793.49"/>
    <n v="0"/>
    <x v="1"/>
    <x v="0"/>
  </r>
  <r>
    <s v="R00930"/>
    <x v="0"/>
    <n v="60"/>
    <x v="9"/>
    <n v="65336.46"/>
    <n v="58149.51"/>
    <n v="26"/>
    <n v="58"/>
    <n v="29405.08"/>
    <n v="7085.06"/>
    <x v="0"/>
    <x v="0"/>
  </r>
  <r>
    <s v="R00922"/>
    <x v="0"/>
    <n v="5"/>
    <x v="9"/>
    <n v="9203.39"/>
    <n v="7621.48"/>
    <n v="31"/>
    <n v="19"/>
    <n v="10992.95"/>
    <n v="5850.15"/>
    <x v="0"/>
    <x v="0"/>
  </r>
  <r>
    <s v="R01003"/>
    <x v="3"/>
    <n v="119"/>
    <x v="9"/>
    <n v="101325.14"/>
    <n v="68911.72"/>
    <n v="51"/>
    <n v="43"/>
    <n v="39213.620000000003"/>
    <n v="0"/>
    <x v="0"/>
    <x v="0"/>
  </r>
  <r>
    <s v="R00908"/>
    <x v="3"/>
    <n v="27"/>
    <x v="9"/>
    <n v="32524.75"/>
    <n v="34502.82"/>
    <n v="20"/>
    <n v="22"/>
    <n v="67756.06"/>
    <n v="6170.98"/>
    <x v="0"/>
    <x v="0"/>
  </r>
  <r>
    <s v="R00907"/>
    <x v="5"/>
    <n v="68"/>
    <x v="9"/>
    <n v="50906.14"/>
    <n v="34345.949999999997"/>
    <n v="72"/>
    <n v="48"/>
    <n v="55374.96"/>
    <n v="0"/>
    <x v="0"/>
    <x v="0"/>
  </r>
  <r>
    <s v="R01283"/>
    <x v="1"/>
    <n v="104"/>
    <x v="9"/>
    <n v="94207.99"/>
    <n v="87158.9"/>
    <n v="65"/>
    <n v="34"/>
    <n v="59761.54"/>
    <n v="0"/>
    <x v="0"/>
    <x v="0"/>
  </r>
  <r>
    <s v="R00135"/>
    <x v="2"/>
    <n v="44"/>
    <x v="9"/>
    <n v="32474.79"/>
    <n v="33327.24"/>
    <n v="41"/>
    <n v="58"/>
    <n v="10525.58"/>
    <n v="2162"/>
    <x v="0"/>
    <x v="0"/>
  </r>
  <r>
    <s v="R00897"/>
    <x v="0"/>
    <n v="23"/>
    <x v="9"/>
    <n v="38213.57"/>
    <n v="26939.91"/>
    <n v="40"/>
    <n v="23"/>
    <n v="15403.76"/>
    <n v="6669.71"/>
    <x v="1"/>
    <x v="0"/>
  </r>
  <r>
    <s v="R00888"/>
    <x v="4"/>
    <n v="24"/>
    <x v="9"/>
    <n v="22308.45"/>
    <n v="23042.400000000001"/>
    <n v="44"/>
    <n v="41"/>
    <n v="48830.71"/>
    <n v="0"/>
    <x v="0"/>
    <x v="0"/>
  </r>
  <r>
    <s v="R01292"/>
    <x v="3"/>
    <n v="64"/>
    <x v="9"/>
    <n v="68738.509999999995"/>
    <n v="47733.83"/>
    <n v="49"/>
    <n v="48"/>
    <n v="75667.490000000005"/>
    <n v="5948.94"/>
    <x v="1"/>
    <x v="0"/>
  </r>
  <r>
    <s v="R01293"/>
    <x v="3"/>
    <n v="97"/>
    <x v="9"/>
    <n v="77840.479999999996"/>
    <n v="77213.47"/>
    <n v="26"/>
    <n v="10"/>
    <n v="10259.870000000001"/>
    <n v="7392.17"/>
    <x v="0"/>
    <x v="0"/>
  </r>
  <r>
    <s v="R00869"/>
    <x v="5"/>
    <n v="38"/>
    <x v="9"/>
    <n v="20810.46"/>
    <n v="21819.84"/>
    <n v="43"/>
    <n v="11"/>
    <n v="60233.86"/>
    <n v="4467.09"/>
    <x v="0"/>
    <x v="0"/>
  </r>
  <r>
    <s v="R00864"/>
    <x v="3"/>
    <n v="66"/>
    <x v="9"/>
    <n v="64869.94"/>
    <n v="41265.18"/>
    <n v="52"/>
    <n v="38"/>
    <n v="42981.45"/>
    <n v="3518.02"/>
    <x v="0"/>
    <x v="0"/>
  </r>
  <r>
    <s v="R00787"/>
    <x v="0"/>
    <n v="71"/>
    <x v="9"/>
    <n v="62615.32"/>
    <n v="45236.41"/>
    <n v="36"/>
    <n v="20"/>
    <n v="41814.629999999997"/>
    <n v="5071.4799999999996"/>
    <x v="0"/>
    <x v="0"/>
  </r>
  <r>
    <s v="R01337"/>
    <x v="0"/>
    <n v="48"/>
    <x v="9"/>
    <n v="44801.26"/>
    <n v="41153.07"/>
    <n v="23"/>
    <n v="26"/>
    <n v="23796.39"/>
    <n v="6191.94"/>
    <x v="0"/>
    <x v="0"/>
  </r>
  <r>
    <s v="R00110"/>
    <x v="4"/>
    <n v="31"/>
    <x v="9"/>
    <n v="11020.19"/>
    <n v="11166.9"/>
    <n v="46"/>
    <n v="21"/>
    <n v="46497"/>
    <n v="5730.98"/>
    <x v="0"/>
    <x v="0"/>
  </r>
  <r>
    <s v="R00817"/>
    <x v="1"/>
    <n v="45"/>
    <x v="9"/>
    <n v="49767.92"/>
    <n v="32873.300000000003"/>
    <n v="32"/>
    <n v="43"/>
    <n v="13959.67"/>
    <n v="2939.4"/>
    <x v="0"/>
    <x v="0"/>
  </r>
  <r>
    <s v="R01092"/>
    <x v="1"/>
    <n v="68"/>
    <x v="9"/>
    <n v="48429.85"/>
    <n v="50122.38"/>
    <n v="29"/>
    <n v="21"/>
    <n v="59385.62"/>
    <n v="0"/>
    <x v="0"/>
    <x v="0"/>
  </r>
  <r>
    <s v="R00822"/>
    <x v="0"/>
    <n v="77"/>
    <x v="9"/>
    <n v="82741.320000000007"/>
    <n v="85636.37"/>
    <n v="33"/>
    <n v="2"/>
    <n v="21258.639999999999"/>
    <n v="2951.44"/>
    <x v="0"/>
    <x v="0"/>
  </r>
  <r>
    <s v="R01135"/>
    <x v="1"/>
    <n v="87"/>
    <x v="9"/>
    <n v="68002.460000000006"/>
    <n v="44478.5"/>
    <n v="35"/>
    <n v="35"/>
    <n v="30839.23"/>
    <n v="3135.14"/>
    <x v="0"/>
    <x v="0"/>
  </r>
  <r>
    <s v="R00823"/>
    <x v="5"/>
    <n v="60"/>
    <x v="9"/>
    <n v="51296.97"/>
    <n v="45813.23"/>
    <n v="15"/>
    <n v="26"/>
    <n v="19374.43"/>
    <n v="3436.74"/>
    <x v="1"/>
    <x v="0"/>
  </r>
  <r>
    <s v="R01071"/>
    <x v="5"/>
    <n v="66"/>
    <x v="9"/>
    <n v="48518.34"/>
    <n v="52393.38"/>
    <n v="21"/>
    <n v="55"/>
    <n v="63955.19"/>
    <n v="5547.75"/>
    <x v="1"/>
    <x v="0"/>
  </r>
  <r>
    <s v="R00846"/>
    <x v="5"/>
    <n v="112"/>
    <x v="9"/>
    <n v="90376.22"/>
    <n v="71230.649999999994"/>
    <n v="43"/>
    <n v="48"/>
    <n v="31187.82"/>
    <n v="0"/>
    <x v="0"/>
    <x v="0"/>
  </r>
  <r>
    <s v="R01309"/>
    <x v="5"/>
    <n v="110"/>
    <x v="9"/>
    <n v="103754.35"/>
    <n v="110016.71"/>
    <n v="44"/>
    <n v="55"/>
    <n v="2153.15"/>
    <n v="9389.65"/>
    <x v="0"/>
    <x v="0"/>
  </r>
  <r>
    <s v="R00852"/>
    <x v="3"/>
    <n v="33"/>
    <x v="9"/>
    <n v="36625.07"/>
    <n v="37295.82"/>
    <n v="65"/>
    <n v="64"/>
    <n v="31260.37"/>
    <n v="5562.93"/>
    <x v="0"/>
    <x v="0"/>
  </r>
  <r>
    <s v="R01055"/>
    <x v="1"/>
    <n v="91"/>
    <x v="9"/>
    <n v="62722.21"/>
    <n v="51410.14"/>
    <n v="25"/>
    <n v="35"/>
    <n v="62731.69"/>
    <n v="205.1"/>
    <x v="0"/>
    <x v="0"/>
  </r>
  <r>
    <s v="R00168"/>
    <x v="5"/>
    <n v="108"/>
    <x v="9"/>
    <n v="85064.12"/>
    <n v="51971.37"/>
    <n v="59"/>
    <n v="31"/>
    <n v="31230.04"/>
    <n v="473.08"/>
    <x v="0"/>
    <x v="0"/>
  </r>
  <r>
    <s v="R01074"/>
    <x v="0"/>
    <n v="54"/>
    <x v="9"/>
    <n v="50017.14"/>
    <n v="52747.66"/>
    <n v="13"/>
    <n v="23"/>
    <n v="48763.42"/>
    <n v="10533.91"/>
    <x v="0"/>
    <x v="0"/>
  </r>
  <r>
    <s v="R00288"/>
    <x v="3"/>
    <n v="21"/>
    <x v="9"/>
    <n v="41077.449999999997"/>
    <n v="40956.1"/>
    <n v="21"/>
    <n v="34"/>
    <n v="14325.46"/>
    <n v="0"/>
    <x v="0"/>
    <x v="0"/>
  </r>
  <r>
    <s v="R00725"/>
    <x v="1"/>
    <n v="50"/>
    <x v="9"/>
    <n v="29592.28"/>
    <n v="28675.65"/>
    <n v="10"/>
    <n v="2"/>
    <n v="58327.64"/>
    <n v="0"/>
    <x v="0"/>
    <x v="0"/>
  </r>
  <r>
    <s v="R00743"/>
    <x v="1"/>
    <n v="42"/>
    <x v="9"/>
    <n v="48847.23"/>
    <n v="43441.93"/>
    <n v="37"/>
    <n v="0"/>
    <n v="31257.85"/>
    <n v="0"/>
    <x v="0"/>
    <x v="0"/>
  </r>
  <r>
    <s v="R00510"/>
    <x v="4"/>
    <n v="92"/>
    <x v="9"/>
    <n v="81333.710000000006"/>
    <n v="67795.210000000006"/>
    <n v="31"/>
    <n v="44"/>
    <n v="88989.65"/>
    <n v="0"/>
    <x v="0"/>
    <x v="0"/>
  </r>
  <r>
    <s v="R00530"/>
    <x v="0"/>
    <n v="24"/>
    <x v="9"/>
    <n v="18481.080000000002"/>
    <n v="15839.48"/>
    <n v="52"/>
    <n v="39"/>
    <n v="36141.21"/>
    <n v="295.35000000000002"/>
    <x v="0"/>
    <x v="0"/>
  </r>
  <r>
    <s v="R00030"/>
    <x v="5"/>
    <n v="94"/>
    <x v="9"/>
    <n v="79042.13"/>
    <n v="63215.37"/>
    <n v="53"/>
    <n v="2"/>
    <n v="43934.63"/>
    <n v="4699.43"/>
    <x v="0"/>
    <x v="0"/>
  </r>
  <r>
    <s v="R00561"/>
    <x v="5"/>
    <n v="54"/>
    <x v="9"/>
    <n v="42970.38"/>
    <n v="41440.449999999997"/>
    <n v="28"/>
    <n v="36"/>
    <n v="25167.11"/>
    <n v="0"/>
    <x v="0"/>
    <x v="0"/>
  </r>
  <r>
    <s v="R00222"/>
    <x v="2"/>
    <n v="68"/>
    <x v="9"/>
    <n v="72131.86"/>
    <n v="69061.45"/>
    <n v="44"/>
    <n v="35"/>
    <n v="27379.52"/>
    <n v="5798.45"/>
    <x v="0"/>
    <x v="0"/>
  </r>
  <r>
    <s v="R00216"/>
    <x v="1"/>
    <n v="20"/>
    <x v="9"/>
    <n v="26758.47"/>
    <n v="15994.6"/>
    <n v="47"/>
    <n v="36"/>
    <n v="35418.120000000003"/>
    <n v="3542.62"/>
    <x v="0"/>
    <x v="0"/>
  </r>
  <r>
    <s v="R00585"/>
    <x v="2"/>
    <n v="77"/>
    <x v="9"/>
    <n v="57856.160000000003"/>
    <n v="59284.93"/>
    <n v="44"/>
    <n v="5"/>
    <n v="25568.17"/>
    <n v="0"/>
    <x v="0"/>
    <x v="0"/>
  </r>
  <r>
    <s v="R01460"/>
    <x v="1"/>
    <n v="4"/>
    <x v="9"/>
    <n v="13375.1"/>
    <n v="12877.94"/>
    <n v="31"/>
    <n v="12"/>
    <n v="10523.34"/>
    <n v="1535.92"/>
    <x v="0"/>
    <x v="0"/>
  </r>
  <r>
    <s v="R00209"/>
    <x v="3"/>
    <n v="39"/>
    <x v="9"/>
    <n v="35354.31"/>
    <n v="27000.3"/>
    <n v="26"/>
    <n v="29"/>
    <n v="66132.929999999993"/>
    <n v="821.52"/>
    <x v="0"/>
    <x v="0"/>
  </r>
  <r>
    <s v="R01455"/>
    <x v="1"/>
    <n v="104"/>
    <x v="9"/>
    <n v="96173.37"/>
    <n v="96244.57"/>
    <n v="54"/>
    <n v="28"/>
    <n v="51205.15"/>
    <n v="7757.28"/>
    <x v="0"/>
    <x v="0"/>
  </r>
  <r>
    <s v="R00603"/>
    <x v="1"/>
    <n v="48"/>
    <x v="9"/>
    <n v="35530.21"/>
    <n v="29250.71"/>
    <n v="30"/>
    <n v="52"/>
    <n v="56662.2"/>
    <n v="2522.19"/>
    <x v="0"/>
    <x v="0"/>
  </r>
  <r>
    <s v="R00033"/>
    <x v="0"/>
    <n v="34"/>
    <x v="9"/>
    <n v="39474.559999999998"/>
    <n v="36971.730000000003"/>
    <n v="48"/>
    <n v="33"/>
    <n v="8206.4"/>
    <n v="10682.47"/>
    <x v="0"/>
    <x v="0"/>
  </r>
  <r>
    <s v="R00036"/>
    <x v="1"/>
    <n v="91"/>
    <x v="9"/>
    <n v="79027.820000000007"/>
    <n v="53513.4"/>
    <n v="42"/>
    <n v="35"/>
    <n v="30668.46"/>
    <n v="0"/>
    <x v="0"/>
    <x v="0"/>
  </r>
  <r>
    <s v="R00201"/>
    <x v="1"/>
    <n v="45"/>
    <x v="9"/>
    <n v="39402.660000000003"/>
    <n v="40991.93"/>
    <n v="36"/>
    <n v="5"/>
    <n v="26051.21"/>
    <n v="853.04"/>
    <x v="0"/>
    <x v="0"/>
  </r>
  <r>
    <s v="R01433"/>
    <x v="4"/>
    <n v="71"/>
    <x v="9"/>
    <n v="62972.2"/>
    <n v="41046.69"/>
    <n v="22"/>
    <n v="48"/>
    <n v="54410.67"/>
    <n v="1661.28"/>
    <x v="0"/>
    <x v="0"/>
  </r>
  <r>
    <s v="R00658"/>
    <x v="2"/>
    <n v="6"/>
    <x v="9"/>
    <n v="17857.61"/>
    <n v="16418.560000000001"/>
    <n v="41"/>
    <n v="34"/>
    <n v="56359.64"/>
    <n v="1528.22"/>
    <x v="0"/>
    <x v="0"/>
  </r>
  <r>
    <s v="R00670"/>
    <x v="5"/>
    <n v="99"/>
    <x v="9"/>
    <n v="92703.58"/>
    <n v="97528.61"/>
    <n v="40"/>
    <n v="38"/>
    <n v="12628.28"/>
    <n v="3898.79"/>
    <x v="1"/>
    <x v="0"/>
  </r>
  <r>
    <s v="R00236"/>
    <x v="2"/>
    <n v="119"/>
    <x v="9"/>
    <n v="101622.18"/>
    <n v="78267.509999999995"/>
    <n v="72"/>
    <n v="45"/>
    <n v="9936.17"/>
    <n v="0"/>
    <x v="1"/>
    <x v="0"/>
  </r>
  <r>
    <s v="R00021"/>
    <x v="1"/>
    <n v="28"/>
    <x v="9"/>
    <n v="38633.86"/>
    <n v="29230.13"/>
    <n v="43"/>
    <n v="15"/>
    <n v="0"/>
    <n v="1745.21"/>
    <x v="0"/>
    <x v="0"/>
  </r>
  <r>
    <s v="R00244"/>
    <x v="4"/>
    <n v="3"/>
    <x v="9"/>
    <n v="7593.63"/>
    <n v="6814.58"/>
    <n v="36"/>
    <n v="16"/>
    <n v="15334.19"/>
    <n v="556.04"/>
    <x v="0"/>
    <x v="0"/>
  </r>
  <r>
    <s v="R00473"/>
    <x v="5"/>
    <n v="49"/>
    <x v="9"/>
    <n v="48179.06"/>
    <n v="33310.35"/>
    <n v="54"/>
    <n v="22"/>
    <n v="46044.88"/>
    <n v="0"/>
    <x v="1"/>
    <x v="0"/>
  </r>
  <r>
    <s v="R01598"/>
    <x v="2"/>
    <n v="37"/>
    <x v="9"/>
    <n v="27734.29"/>
    <n v="28997.59"/>
    <n v="37"/>
    <n v="40"/>
    <n v="81379.289999999994"/>
    <n v="6533.57"/>
    <x v="0"/>
    <x v="0"/>
  </r>
  <r>
    <s v="R00317"/>
    <x v="1"/>
    <n v="111"/>
    <x v="9"/>
    <n v="83561.45"/>
    <n v="88269.24"/>
    <n v="19"/>
    <n v="41"/>
    <n v="46989.1"/>
    <n v="5213.8599999999997"/>
    <x v="0"/>
    <x v="0"/>
  </r>
  <r>
    <s v="R00328"/>
    <x v="1"/>
    <n v="45"/>
    <x v="9"/>
    <n v="44100.480000000003"/>
    <n v="28977.9"/>
    <n v="24"/>
    <n v="3"/>
    <n v="17168.98"/>
    <n v="6975.09"/>
    <x v="0"/>
    <x v="0"/>
  </r>
  <r>
    <s v="R00334"/>
    <x v="0"/>
    <n v="69"/>
    <x v="9"/>
    <n v="53009.279999999999"/>
    <n v="52293.23"/>
    <n v="30"/>
    <n v="28"/>
    <n v="61171.49"/>
    <n v="2395.62"/>
    <x v="0"/>
    <x v="0"/>
  </r>
  <r>
    <s v="R00340"/>
    <x v="5"/>
    <n v="108"/>
    <x v="9"/>
    <n v="85732.25"/>
    <n v="51623.12"/>
    <n v="14"/>
    <n v="25"/>
    <n v="39156.080000000002"/>
    <n v="3981.99"/>
    <x v="0"/>
    <x v="0"/>
  </r>
  <r>
    <s v="R01571"/>
    <x v="3"/>
    <n v="4"/>
    <x v="9"/>
    <n v="7247.79"/>
    <n v="6565.86"/>
    <n v="10"/>
    <n v="0"/>
    <n v="16057.58"/>
    <n v="7161.34"/>
    <x v="1"/>
    <x v="0"/>
  </r>
  <r>
    <s v="R00272"/>
    <x v="5"/>
    <n v="16"/>
    <x v="9"/>
    <n v="25527.87"/>
    <n v="21629.17"/>
    <n v="19"/>
    <n v="16"/>
    <n v="37888"/>
    <n v="6613.23"/>
    <x v="0"/>
    <x v="0"/>
  </r>
  <r>
    <s v="R00371"/>
    <x v="1"/>
    <n v="27"/>
    <x v="9"/>
    <n v="21479.02"/>
    <n v="20315.54"/>
    <n v="43"/>
    <n v="48"/>
    <n v="37944.5"/>
    <n v="183.14"/>
    <x v="0"/>
    <x v="0"/>
  </r>
  <r>
    <s v="R00675"/>
    <x v="3"/>
    <n v="68"/>
    <x v="9"/>
    <n v="44646.79"/>
    <n v="30915.09"/>
    <n v="35"/>
    <n v="20"/>
    <n v="19549.310000000001"/>
    <n v="3016.44"/>
    <x v="0"/>
    <x v="0"/>
  </r>
  <r>
    <s v="R00377"/>
    <x v="4"/>
    <n v="43"/>
    <x v="9"/>
    <n v="48422.71"/>
    <n v="36582.94"/>
    <n v="36"/>
    <n v="2"/>
    <n v="29420.51"/>
    <n v="0"/>
    <x v="0"/>
    <x v="0"/>
  </r>
  <r>
    <s v="R00013"/>
    <x v="5"/>
    <n v="69"/>
    <x v="9"/>
    <n v="51169.61"/>
    <n v="37131.47"/>
    <n v="66"/>
    <n v="0"/>
    <n v="56376.84"/>
    <n v="3173.46"/>
    <x v="0"/>
    <x v="0"/>
  </r>
  <r>
    <s v="R01536"/>
    <x v="5"/>
    <n v="106"/>
    <x v="9"/>
    <n v="87925.99"/>
    <n v="56723.360000000001"/>
    <n v="56"/>
    <n v="0"/>
    <n v="25893.18"/>
    <n v="4598.5200000000004"/>
    <x v="0"/>
    <x v="0"/>
  </r>
  <r>
    <s v="R00425"/>
    <x v="0"/>
    <n v="33"/>
    <x v="9"/>
    <n v="26777.31"/>
    <n v="21990.53"/>
    <n v="75"/>
    <n v="17"/>
    <n v="0"/>
    <n v="1460.19"/>
    <x v="0"/>
    <x v="0"/>
  </r>
  <r>
    <s v="R00255"/>
    <x v="1"/>
    <n v="79"/>
    <x v="9"/>
    <n v="65654.460000000006"/>
    <n v="42302.09"/>
    <n v="64"/>
    <n v="57"/>
    <n v="17049.310000000001"/>
    <n v="4030.1"/>
    <x v="0"/>
    <x v="0"/>
  </r>
  <r>
    <s v="R00254"/>
    <x v="2"/>
    <n v="64"/>
    <x v="9"/>
    <n v="63914.58"/>
    <n v="59821.61"/>
    <n v="37"/>
    <n v="32"/>
    <n v="0"/>
    <n v="4558.2700000000004"/>
    <x v="0"/>
    <x v="0"/>
  </r>
  <r>
    <s v="R00253"/>
    <x v="5"/>
    <n v="101"/>
    <x v="9"/>
    <n v="75043.27"/>
    <n v="78962.17"/>
    <n v="66"/>
    <n v="17"/>
    <n v="14043.36"/>
    <n v="6591.1"/>
    <x v="1"/>
    <x v="0"/>
  </r>
  <r>
    <s v="R00459"/>
    <x v="1"/>
    <n v="65"/>
    <x v="9"/>
    <n v="51053.14"/>
    <n v="48238.99"/>
    <n v="34"/>
    <n v="0"/>
    <n v="37643.79"/>
    <n v="8929.2000000000007"/>
    <x v="0"/>
    <x v="0"/>
  </r>
  <r>
    <s v="R00470"/>
    <x v="3"/>
    <n v="12"/>
    <x v="9"/>
    <n v="6617.88"/>
    <n v="4947.5600000000004"/>
    <n v="90"/>
    <n v="19"/>
    <n v="62938.64"/>
    <n v="0"/>
    <x v="0"/>
    <x v="0"/>
  </r>
  <r>
    <s v="R01557"/>
    <x v="5"/>
    <n v="119"/>
    <x v="9"/>
    <n v="106723.48"/>
    <n v="99459.64"/>
    <n v="19"/>
    <n v="67"/>
    <n v="46535.33"/>
    <n v="8395.5"/>
    <x v="0"/>
    <x v="0"/>
  </r>
  <r>
    <s v="R00189"/>
    <x v="0"/>
    <n v="14"/>
    <x v="9"/>
    <n v="36539.81"/>
    <n v="27427.25"/>
    <n v="46"/>
    <n v="45"/>
    <n v="48153.79"/>
    <n v="6145.4"/>
    <x v="1"/>
    <x v="0"/>
  </r>
  <r>
    <s v="R00514"/>
    <x v="0"/>
    <n v="62"/>
    <x v="9"/>
    <n v="64782.7"/>
    <n v="37675.160000000003"/>
    <n v="10"/>
    <n v="25"/>
    <n v="67246.899999999994"/>
    <n v="6508.43"/>
    <x v="0"/>
    <x v="0"/>
  </r>
  <r>
    <s v="R00733"/>
    <x v="5"/>
    <n v="48"/>
    <x v="9"/>
    <n v="41441.410000000003"/>
    <n v="43906.36"/>
    <n v="55"/>
    <n v="9"/>
    <n v="21805.43"/>
    <n v="2921.97"/>
    <x v="0"/>
    <x v="0"/>
  </r>
  <r>
    <s v="R00713"/>
    <x v="1"/>
    <n v="68"/>
    <x v="9"/>
    <n v="65398.89"/>
    <n v="57847.98"/>
    <n v="10"/>
    <n v="1"/>
    <n v="46318.9"/>
    <n v="3393.12"/>
    <x v="0"/>
    <x v="0"/>
  </r>
  <r>
    <s v="R00716"/>
    <x v="4"/>
    <n v="83"/>
    <x v="9"/>
    <n v="77376.259999999995"/>
    <n v="56389.88"/>
    <n v="21"/>
    <n v="30"/>
    <n v="27164.91"/>
    <n v="3671.64"/>
    <x v="0"/>
    <x v="0"/>
  </r>
  <r>
    <s v="R00187"/>
    <x v="1"/>
    <n v="84"/>
    <x v="9"/>
    <n v="63601.78"/>
    <n v="43505.34"/>
    <n v="56"/>
    <n v="14"/>
    <n v="44432.51"/>
    <n v="3933.76"/>
    <x v="0"/>
    <x v="0"/>
  </r>
  <r>
    <s v="R00700"/>
    <x v="2"/>
    <n v="102"/>
    <x v="9"/>
    <n v="83425"/>
    <n v="89730.64"/>
    <n v="39"/>
    <n v="16"/>
    <n v="0"/>
    <n v="0"/>
    <x v="0"/>
    <x v="0"/>
  </r>
  <r>
    <s v="R01396"/>
    <x v="2"/>
    <n v="29"/>
    <x v="9"/>
    <n v="30064.31"/>
    <n v="26605.43"/>
    <n v="70"/>
    <n v="66"/>
    <n v="33405.730000000003"/>
    <n v="681.03"/>
    <x v="0"/>
    <x v="0"/>
  </r>
  <r>
    <s v="R01377"/>
    <x v="4"/>
    <n v="103"/>
    <x v="9"/>
    <n v="84384.06"/>
    <n v="74550.100000000006"/>
    <n v="18"/>
    <n v="9"/>
    <n v="48562.42"/>
    <n v="0"/>
    <x v="0"/>
    <x v="0"/>
  </r>
  <r>
    <s v="R00790"/>
    <x v="5"/>
    <n v="15"/>
    <x v="10"/>
    <n v="15141.25"/>
    <n v="9210.82"/>
    <n v="12"/>
    <n v="29"/>
    <n v="64656.06"/>
    <n v="1847.05"/>
    <x v="0"/>
    <x v="0"/>
  </r>
  <r>
    <s v="R01296"/>
    <x v="0"/>
    <n v="35"/>
    <x v="10"/>
    <n v="34040.6"/>
    <n v="34551.449999999997"/>
    <n v="38"/>
    <n v="13"/>
    <n v="19051.82"/>
    <n v="4776.22"/>
    <x v="0"/>
    <x v="0"/>
  </r>
  <r>
    <s v="R00177"/>
    <x v="4"/>
    <n v="25"/>
    <x v="10"/>
    <n v="33376.51"/>
    <n v="27891.51"/>
    <n v="44"/>
    <n v="35"/>
    <n v="15626.28"/>
    <n v="0"/>
    <x v="0"/>
    <x v="0"/>
  </r>
  <r>
    <s v="R01526"/>
    <x v="0"/>
    <n v="115"/>
    <x v="10"/>
    <n v="77674.77"/>
    <n v="65629.55"/>
    <n v="73"/>
    <n v="40"/>
    <n v="30669.84"/>
    <n v="6567.56"/>
    <x v="0"/>
    <x v="0"/>
  </r>
  <r>
    <s v="R01529"/>
    <x v="0"/>
    <n v="107"/>
    <x v="10"/>
    <n v="77985.62"/>
    <n v="61636.19"/>
    <n v="32"/>
    <n v="28"/>
    <n v="0"/>
    <n v="0"/>
    <x v="1"/>
    <x v="0"/>
  </r>
  <r>
    <s v="R00760"/>
    <x v="5"/>
    <n v="13"/>
    <x v="10"/>
    <n v="21837.16"/>
    <n v="14497.39"/>
    <n v="20"/>
    <n v="19"/>
    <n v="43138.71"/>
    <n v="10605.98"/>
    <x v="0"/>
    <x v="0"/>
  </r>
  <r>
    <s v="R01223"/>
    <x v="0"/>
    <n v="52"/>
    <x v="10"/>
    <n v="46304.29"/>
    <n v="32407.1"/>
    <n v="45"/>
    <n v="0"/>
    <n v="35179.339999999997"/>
    <n v="7739.96"/>
    <x v="0"/>
    <x v="0"/>
  </r>
  <r>
    <s v="R00932"/>
    <x v="3"/>
    <n v="9"/>
    <x v="10"/>
    <n v="9385.7000000000007"/>
    <n v="6879.37"/>
    <n v="21"/>
    <n v="17"/>
    <n v="5229.26"/>
    <n v="2470.83"/>
    <x v="0"/>
    <x v="0"/>
  </r>
  <r>
    <s v="R00207"/>
    <x v="1"/>
    <n v="12"/>
    <x v="10"/>
    <n v="21235.39"/>
    <n v="16690.29"/>
    <n v="32"/>
    <n v="12"/>
    <n v="41234.54"/>
    <n v="2663.66"/>
    <x v="0"/>
    <x v="0"/>
  </r>
  <r>
    <s v="R00856"/>
    <x v="1"/>
    <n v="71"/>
    <x v="10"/>
    <n v="64606.879999999997"/>
    <n v="65494.69"/>
    <n v="62"/>
    <n v="11"/>
    <n v="43384.800000000003"/>
    <n v="2458.69"/>
    <x v="1"/>
    <x v="0"/>
  </r>
  <r>
    <s v="R00728"/>
    <x v="1"/>
    <n v="46"/>
    <x v="10"/>
    <n v="55651.51"/>
    <n v="58715.37"/>
    <n v="18"/>
    <n v="53"/>
    <n v="46025.95"/>
    <n v="4951.88"/>
    <x v="0"/>
    <x v="0"/>
  </r>
  <r>
    <s v="R00400"/>
    <x v="4"/>
    <n v="77"/>
    <x v="10"/>
    <n v="72916.03"/>
    <n v="47759.839999999997"/>
    <n v="43"/>
    <n v="0"/>
    <n v="33109.300000000003"/>
    <n v="6393.36"/>
    <x v="0"/>
    <x v="0"/>
  </r>
  <r>
    <s v="R00074"/>
    <x v="0"/>
    <n v="84"/>
    <x v="10"/>
    <n v="71663.78"/>
    <n v="41970.18"/>
    <n v="55"/>
    <n v="46"/>
    <n v="12718.96"/>
    <n v="790.68"/>
    <x v="1"/>
    <x v="0"/>
  </r>
  <r>
    <s v="R00265"/>
    <x v="1"/>
    <n v="83"/>
    <x v="10"/>
    <n v="64834.5"/>
    <n v="54368.800000000003"/>
    <n v="35"/>
    <n v="39"/>
    <n v="28999.29"/>
    <n v="1030.07"/>
    <x v="0"/>
    <x v="0"/>
  </r>
  <r>
    <s v="R00705"/>
    <x v="0"/>
    <n v="36"/>
    <x v="10"/>
    <n v="42342.81"/>
    <n v="33536.33"/>
    <n v="28"/>
    <n v="7"/>
    <n v="66532.84"/>
    <n v="8434.39"/>
    <x v="0"/>
    <x v="0"/>
  </r>
  <r>
    <s v="R01067"/>
    <x v="3"/>
    <n v="89"/>
    <x v="10"/>
    <n v="74342.14"/>
    <n v="58474.11"/>
    <n v="44"/>
    <n v="16"/>
    <n v="61003.79"/>
    <n v="3850.43"/>
    <x v="0"/>
    <x v="0"/>
  </r>
  <r>
    <s v="R00627"/>
    <x v="2"/>
    <n v="104"/>
    <x v="10"/>
    <n v="81846.25"/>
    <n v="65507.7"/>
    <n v="34"/>
    <n v="46"/>
    <n v="54865.04"/>
    <n v="1588.75"/>
    <x v="0"/>
    <x v="0"/>
  </r>
  <r>
    <s v="R01068"/>
    <x v="3"/>
    <n v="8"/>
    <x v="10"/>
    <n v="5649.98"/>
    <n v="4114.03"/>
    <n v="20"/>
    <n v="28"/>
    <n v="24290.11"/>
    <n v="5616.49"/>
    <x v="1"/>
    <x v="0"/>
  </r>
  <r>
    <s v="R00858"/>
    <x v="1"/>
    <n v="63"/>
    <x v="10"/>
    <n v="63568.87"/>
    <n v="38739.35"/>
    <n v="48"/>
    <n v="15"/>
    <n v="9451.61"/>
    <n v="9850.44"/>
    <x v="0"/>
    <x v="0"/>
  </r>
  <r>
    <s v="R01235"/>
    <x v="2"/>
    <n v="72"/>
    <x v="10"/>
    <n v="70261.740000000005"/>
    <n v="53840.61"/>
    <n v="22"/>
    <n v="41"/>
    <n v="63943.33"/>
    <n v="652.49"/>
    <x v="0"/>
    <x v="0"/>
  </r>
  <r>
    <s v="R01005"/>
    <x v="1"/>
    <n v="118"/>
    <x v="10"/>
    <n v="86723.53"/>
    <n v="78124.98"/>
    <n v="41"/>
    <n v="25"/>
    <n v="47394.31"/>
    <n v="8025.97"/>
    <x v="0"/>
    <x v="0"/>
  </r>
  <r>
    <s v="R01380"/>
    <x v="3"/>
    <n v="33"/>
    <x v="10"/>
    <n v="32810.589999999997"/>
    <n v="31854.43"/>
    <n v="37"/>
    <n v="16"/>
    <n v="0"/>
    <n v="976.63"/>
    <x v="1"/>
    <x v="0"/>
  </r>
  <r>
    <s v="R00148"/>
    <x v="4"/>
    <n v="18"/>
    <x v="10"/>
    <n v="17676.73"/>
    <n v="12156.88"/>
    <n v="35"/>
    <n v="12"/>
    <n v="23281.63"/>
    <n v="0"/>
    <x v="1"/>
    <x v="0"/>
  </r>
  <r>
    <s v="R00549"/>
    <x v="2"/>
    <n v="76"/>
    <x v="10"/>
    <n v="50906.23"/>
    <n v="30131.42"/>
    <n v="35"/>
    <n v="18"/>
    <n v="29456.67"/>
    <n v="5279.03"/>
    <x v="1"/>
    <x v="0"/>
  </r>
  <r>
    <s v="R00066"/>
    <x v="2"/>
    <n v="111"/>
    <x v="10"/>
    <n v="89730.06"/>
    <n v="55401.9"/>
    <n v="10"/>
    <n v="32"/>
    <n v="0"/>
    <n v="0"/>
    <x v="0"/>
    <x v="0"/>
  </r>
  <r>
    <s v="R00952"/>
    <x v="2"/>
    <n v="33"/>
    <x v="10"/>
    <n v="34631.22"/>
    <n v="22533.8"/>
    <n v="38"/>
    <n v="39"/>
    <n v="8531.98"/>
    <n v="6109.83"/>
    <x v="0"/>
    <x v="0"/>
  </r>
  <r>
    <s v="R00913"/>
    <x v="1"/>
    <n v="52"/>
    <x v="10"/>
    <n v="41258.1"/>
    <n v="38293.949999999997"/>
    <n v="50"/>
    <n v="13"/>
    <n v="0"/>
    <n v="2689.09"/>
    <x v="1"/>
    <x v="0"/>
  </r>
  <r>
    <s v="R00958"/>
    <x v="5"/>
    <n v="113"/>
    <x v="10"/>
    <n v="99555.88"/>
    <n v="77251.78"/>
    <n v="53"/>
    <n v="37"/>
    <n v="27600.240000000002"/>
    <n v="3216.84"/>
    <x v="0"/>
    <x v="0"/>
  </r>
  <r>
    <s v="R00959"/>
    <x v="4"/>
    <n v="21"/>
    <x v="10"/>
    <n v="22988.400000000001"/>
    <n v="21297.91"/>
    <n v="52"/>
    <n v="12"/>
    <n v="46660.45"/>
    <n v="0"/>
    <x v="1"/>
    <x v="0"/>
  </r>
  <r>
    <s v="R00509"/>
    <x v="4"/>
    <n v="5"/>
    <x v="10"/>
    <n v="12519.8"/>
    <n v="13046.22"/>
    <n v="32"/>
    <n v="60"/>
    <n v="32073.86"/>
    <n v="3412.21"/>
    <x v="1"/>
    <x v="0"/>
  </r>
  <r>
    <s v="R00508"/>
    <x v="4"/>
    <n v="24"/>
    <x v="10"/>
    <n v="21256.53"/>
    <n v="15775.49"/>
    <n v="48"/>
    <n v="21"/>
    <n v="21791.77"/>
    <n v="18378.830000000002"/>
    <x v="0"/>
    <x v="0"/>
  </r>
  <r>
    <s v="R00064"/>
    <x v="1"/>
    <n v="30"/>
    <x v="10"/>
    <n v="25112.78"/>
    <n v="19643.88"/>
    <n v="38"/>
    <n v="65"/>
    <n v="46470.99"/>
    <n v="0"/>
    <x v="1"/>
    <x v="0"/>
  </r>
  <r>
    <s v="R00219"/>
    <x v="2"/>
    <n v="55"/>
    <x v="10"/>
    <n v="45925.57"/>
    <n v="35086.1"/>
    <n v="30"/>
    <n v="30"/>
    <n v="31971.83"/>
    <n v="7545.42"/>
    <x v="0"/>
    <x v="0"/>
  </r>
  <r>
    <s v="R00577"/>
    <x v="4"/>
    <n v="103"/>
    <x v="10"/>
    <n v="83749.289999999994"/>
    <n v="51406.12"/>
    <n v="62"/>
    <n v="34"/>
    <n v="39676.22"/>
    <n v="2926.97"/>
    <x v="1"/>
    <x v="0"/>
  </r>
  <r>
    <s v="R00980"/>
    <x v="4"/>
    <n v="52"/>
    <x v="10"/>
    <n v="42156.84"/>
    <n v="41380.410000000003"/>
    <n v="38"/>
    <n v="21"/>
    <n v="35925.230000000003"/>
    <n v="6170.86"/>
    <x v="0"/>
    <x v="0"/>
  </r>
  <r>
    <s v="R00768"/>
    <x v="5"/>
    <n v="71"/>
    <x v="10"/>
    <n v="46938.5"/>
    <n v="42077.58"/>
    <n v="34"/>
    <n v="20"/>
    <n v="54781.71"/>
    <n v="6578.77"/>
    <x v="1"/>
    <x v="0"/>
  </r>
  <r>
    <s v="R00986"/>
    <x v="3"/>
    <n v="118"/>
    <x v="10"/>
    <n v="95945.85"/>
    <n v="79453.820000000007"/>
    <n v="68"/>
    <n v="30"/>
    <n v="55282.05"/>
    <n v="151.19999999999999"/>
    <x v="0"/>
    <x v="0"/>
  </r>
  <r>
    <s v="R00889"/>
    <x v="5"/>
    <n v="14"/>
    <x v="10"/>
    <n v="4000"/>
    <n v="3443.05"/>
    <n v="44"/>
    <n v="0"/>
    <n v="80086.78"/>
    <n v="5461.64"/>
    <x v="0"/>
    <x v="0"/>
  </r>
  <r>
    <s v="R01242"/>
    <x v="3"/>
    <n v="111"/>
    <x v="10"/>
    <n v="90375.19"/>
    <n v="60076.92"/>
    <n v="48"/>
    <n v="44"/>
    <n v="38478.230000000003"/>
    <n v="222.78"/>
    <x v="0"/>
    <x v="0"/>
  </r>
  <r>
    <s v="R00776"/>
    <x v="3"/>
    <n v="67"/>
    <x v="10"/>
    <n v="66622.27"/>
    <n v="68973.42"/>
    <n v="21"/>
    <n v="42"/>
    <n v="68616.03"/>
    <n v="6398.19"/>
    <x v="0"/>
    <x v="0"/>
  </r>
  <r>
    <s v="R01514"/>
    <x v="3"/>
    <n v="100"/>
    <x v="10"/>
    <n v="86532.1"/>
    <n v="54781.3"/>
    <n v="67"/>
    <n v="18"/>
    <n v="33543.93"/>
    <n v="8193.5"/>
    <x v="0"/>
    <x v="0"/>
  </r>
  <r>
    <s v="R00137"/>
    <x v="5"/>
    <n v="95"/>
    <x v="10"/>
    <n v="93367.72"/>
    <n v="95231.02"/>
    <n v="25"/>
    <n v="64"/>
    <n v="28869.65"/>
    <n v="8039.36"/>
    <x v="0"/>
    <x v="0"/>
  </r>
  <r>
    <s v="R00587"/>
    <x v="2"/>
    <n v="69"/>
    <x v="10"/>
    <n v="64005.98"/>
    <n v="58214.12"/>
    <n v="62"/>
    <n v="0"/>
    <n v="18131.259999999998"/>
    <n v="8232.43"/>
    <x v="0"/>
    <x v="0"/>
  </r>
  <r>
    <s v="R01458"/>
    <x v="4"/>
    <n v="60"/>
    <x v="10"/>
    <n v="52858.97"/>
    <n v="50916.9"/>
    <n v="44"/>
    <n v="2"/>
    <n v="22391.19"/>
    <n v="3783.86"/>
    <x v="0"/>
    <x v="0"/>
  </r>
  <r>
    <s v="R00382"/>
    <x v="0"/>
    <n v="32"/>
    <x v="10"/>
    <n v="35079.56"/>
    <n v="35096.57"/>
    <n v="34"/>
    <n v="28"/>
    <n v="56734.8"/>
    <n v="4245.97"/>
    <x v="0"/>
    <x v="0"/>
  </r>
  <r>
    <s v="R00121"/>
    <x v="4"/>
    <n v="42"/>
    <x v="10"/>
    <n v="27355.73"/>
    <n v="18420.62"/>
    <n v="44"/>
    <n v="0"/>
    <n v="35122.29"/>
    <n v="13547.98"/>
    <x v="0"/>
    <x v="0"/>
  </r>
  <r>
    <s v="R00703"/>
    <x v="1"/>
    <n v="30"/>
    <x v="10"/>
    <n v="25608.65"/>
    <n v="25339.9"/>
    <n v="35"/>
    <n v="28"/>
    <n v="20809.830000000002"/>
    <n v="4086.24"/>
    <x v="0"/>
    <x v="0"/>
  </r>
  <r>
    <s v="R00821"/>
    <x v="2"/>
    <n v="24"/>
    <x v="10"/>
    <n v="17014.650000000001"/>
    <n v="10172.34"/>
    <n v="38"/>
    <n v="34"/>
    <n v="41231.86"/>
    <n v="4359.22"/>
    <x v="0"/>
    <x v="0"/>
  </r>
  <r>
    <s v="R00286"/>
    <x v="3"/>
    <n v="4"/>
    <x v="10"/>
    <n v="4851.87"/>
    <n v="4184.9799999999996"/>
    <n v="38"/>
    <n v="33"/>
    <n v="0"/>
    <n v="3518.23"/>
    <x v="0"/>
    <x v="0"/>
  </r>
  <r>
    <s v="R01373"/>
    <x v="4"/>
    <n v="109"/>
    <x v="10"/>
    <n v="84097.63"/>
    <n v="72146.570000000007"/>
    <n v="23"/>
    <n v="29"/>
    <n v="31880.2"/>
    <n v="5097.7700000000004"/>
    <x v="0"/>
    <x v="0"/>
  </r>
  <r>
    <s v="R00702"/>
    <x v="2"/>
    <n v="53"/>
    <x v="10"/>
    <n v="50454.05"/>
    <n v="32536.76"/>
    <n v="62"/>
    <n v="1"/>
    <n v="24248.19"/>
    <n v="5377.17"/>
    <x v="1"/>
    <x v="0"/>
  </r>
  <r>
    <s v="R01171"/>
    <x v="0"/>
    <n v="33"/>
    <x v="10"/>
    <n v="33708.57"/>
    <n v="34967.040000000001"/>
    <n v="28"/>
    <n v="54"/>
    <n v="62291.44"/>
    <n v="4305.0200000000004"/>
    <x v="0"/>
    <x v="0"/>
  </r>
  <r>
    <s v="R01586"/>
    <x v="2"/>
    <n v="97"/>
    <x v="10"/>
    <n v="79953.59"/>
    <n v="77417.3"/>
    <n v="49"/>
    <n v="31"/>
    <n v="35255.97"/>
    <n v="7918.9"/>
    <x v="0"/>
    <x v="0"/>
  </r>
  <r>
    <s v="R00660"/>
    <x v="4"/>
    <n v="7"/>
    <x v="10"/>
    <n v="4000"/>
    <n v="3738.16"/>
    <n v="53"/>
    <n v="46"/>
    <n v="86192.08"/>
    <n v="1513.68"/>
    <x v="1"/>
    <x v="0"/>
  </r>
  <r>
    <s v="R01423"/>
    <x v="4"/>
    <n v="87"/>
    <x v="10"/>
    <n v="60468.61"/>
    <n v="61891.99"/>
    <n v="57"/>
    <n v="43"/>
    <n v="24043.26"/>
    <n v="126.02"/>
    <x v="0"/>
    <x v="0"/>
  </r>
  <r>
    <s v="R01572"/>
    <x v="0"/>
    <n v="34"/>
    <x v="10"/>
    <n v="28865.65"/>
    <n v="20503.48"/>
    <n v="25"/>
    <n v="31"/>
    <n v="34551.620000000003"/>
    <n v="0"/>
    <x v="0"/>
    <x v="0"/>
  </r>
  <r>
    <s v="R01393"/>
    <x v="5"/>
    <n v="47"/>
    <x v="10"/>
    <n v="39902.9"/>
    <n v="37740.5"/>
    <n v="74"/>
    <n v="38"/>
    <n v="1146.03"/>
    <n v="4817.84"/>
    <x v="0"/>
    <x v="0"/>
  </r>
  <r>
    <s v="R00051"/>
    <x v="3"/>
    <n v="82"/>
    <x v="10"/>
    <n v="68572.160000000003"/>
    <n v="63791.67"/>
    <n v="24"/>
    <n v="19"/>
    <n v="36571.699999999997"/>
    <n v="4344.13"/>
    <x v="0"/>
    <x v="0"/>
  </r>
  <r>
    <s v="R00634"/>
    <x v="0"/>
    <n v="63"/>
    <x v="10"/>
    <n v="58412.160000000003"/>
    <n v="62290.720000000001"/>
    <n v="38"/>
    <n v="42"/>
    <n v="11010.85"/>
    <n v="7841.24"/>
    <x v="0"/>
    <x v="0"/>
  </r>
  <r>
    <s v="R01412"/>
    <x v="3"/>
    <n v="80"/>
    <x v="10"/>
    <n v="56886.93"/>
    <n v="35465.120000000003"/>
    <n v="39"/>
    <n v="15"/>
    <n v="57064.38"/>
    <n v="0"/>
    <x v="0"/>
    <x v="0"/>
  </r>
  <r>
    <s v="R00811"/>
    <x v="2"/>
    <n v="95"/>
    <x v="10"/>
    <n v="84424.98"/>
    <n v="81402.3"/>
    <n v="29"/>
    <n v="0"/>
    <n v="37031.199999999997"/>
    <n v="1147.6199999999999"/>
    <x v="0"/>
    <x v="0"/>
  </r>
  <r>
    <s v="R00669"/>
    <x v="4"/>
    <n v="69"/>
    <x v="10"/>
    <n v="61747.44"/>
    <n v="58586.85"/>
    <n v="10"/>
    <n v="7"/>
    <n v="25812.66"/>
    <n v="5038.63"/>
    <x v="0"/>
    <x v="0"/>
  </r>
  <r>
    <s v="R00807"/>
    <x v="1"/>
    <n v="59"/>
    <x v="10"/>
    <n v="53945.78"/>
    <n v="36007.699999999997"/>
    <n v="14"/>
    <n v="73"/>
    <n v="17612.04"/>
    <n v="3871.05"/>
    <x v="0"/>
    <x v="0"/>
  </r>
  <r>
    <s v="R01364"/>
    <x v="3"/>
    <n v="34"/>
    <x v="10"/>
    <n v="40500.68"/>
    <n v="26074.26"/>
    <n v="21"/>
    <n v="27"/>
    <n v="37701.89"/>
    <n v="0"/>
    <x v="0"/>
    <x v="0"/>
  </r>
  <r>
    <s v="R00099"/>
    <x v="2"/>
    <n v="79"/>
    <x v="10"/>
    <n v="57536.28"/>
    <n v="37612.14"/>
    <n v="33"/>
    <n v="5"/>
    <n v="57491.54"/>
    <n v="2701.11"/>
    <x v="1"/>
    <x v="0"/>
  </r>
  <r>
    <s v="R01417"/>
    <x v="2"/>
    <n v="95"/>
    <x v="10"/>
    <n v="93573.02"/>
    <n v="80645.58"/>
    <n v="37"/>
    <n v="32"/>
    <n v="44444.06"/>
    <n v="10207.07"/>
    <x v="0"/>
    <x v="0"/>
  </r>
  <r>
    <s v="R01167"/>
    <x v="2"/>
    <n v="120"/>
    <x v="10"/>
    <n v="104895.02"/>
    <n v="101070.1"/>
    <n v="25"/>
    <n v="46"/>
    <n v="25692.83"/>
    <n v="4651.8999999999996"/>
    <x v="0"/>
    <x v="0"/>
  </r>
  <r>
    <s v="R01410"/>
    <x v="2"/>
    <n v="102"/>
    <x v="10"/>
    <n v="93460.29"/>
    <n v="82511.820000000007"/>
    <n v="36"/>
    <n v="31"/>
    <n v="55081.65"/>
    <n v="2726.41"/>
    <x v="0"/>
    <x v="0"/>
  </r>
  <r>
    <s v="R00369"/>
    <x v="3"/>
    <n v="62"/>
    <x v="10"/>
    <n v="44321.14"/>
    <n v="40335.279999999999"/>
    <n v="52"/>
    <n v="23"/>
    <n v="10991.16"/>
    <n v="4416.8100000000004"/>
    <x v="1"/>
    <x v="0"/>
  </r>
  <r>
    <s v="R00641"/>
    <x v="3"/>
    <n v="118"/>
    <x v="10"/>
    <n v="92287.43"/>
    <n v="68506.45"/>
    <n v="45"/>
    <n v="32"/>
    <n v="25496.83"/>
    <n v="4219.32"/>
    <x v="1"/>
    <x v="0"/>
  </r>
  <r>
    <s v="R00352"/>
    <x v="1"/>
    <n v="106"/>
    <x v="10"/>
    <n v="81698.31"/>
    <n v="78215.149999999994"/>
    <n v="67"/>
    <n v="26"/>
    <n v="43303.19"/>
    <n v="322.57"/>
    <x v="0"/>
    <x v="0"/>
  </r>
  <r>
    <s v="R01156"/>
    <x v="3"/>
    <n v="31"/>
    <x v="10"/>
    <n v="22558.560000000001"/>
    <n v="22255.919999999998"/>
    <n v="24"/>
    <n v="9"/>
    <n v="31949.3"/>
    <n v="3754.88"/>
    <x v="1"/>
    <x v="0"/>
  </r>
  <r>
    <s v="R01195"/>
    <x v="5"/>
    <n v="28"/>
    <x v="10"/>
    <n v="23548.45"/>
    <n v="16998.38"/>
    <n v="10"/>
    <n v="55"/>
    <n v="34535.370000000003"/>
    <n v="5576.8"/>
    <x v="1"/>
    <x v="0"/>
  </r>
  <r>
    <s v="R01431"/>
    <x v="4"/>
    <n v="111"/>
    <x v="10"/>
    <n v="88365.69"/>
    <n v="86087.13"/>
    <n v="51"/>
    <n v="25"/>
    <n v="35100.959999999999"/>
    <n v="0"/>
    <x v="0"/>
    <x v="0"/>
  </r>
  <r>
    <s v="R00080"/>
    <x v="4"/>
    <n v="93"/>
    <x v="10"/>
    <n v="78230.89"/>
    <n v="72506.399999999994"/>
    <n v="28"/>
    <n v="38"/>
    <n v="48344.11"/>
    <n v="3066.93"/>
    <x v="0"/>
    <x v="0"/>
  </r>
  <r>
    <s v="R00198"/>
    <x v="5"/>
    <n v="14"/>
    <x v="10"/>
    <n v="26717.65"/>
    <n v="20642.18"/>
    <n v="43"/>
    <n v="24"/>
    <n v="23384.080000000002"/>
    <n v="0"/>
    <x v="0"/>
    <x v="0"/>
  </r>
  <r>
    <s v="R01102"/>
    <x v="0"/>
    <n v="76"/>
    <x v="10"/>
    <n v="60997.760000000002"/>
    <n v="42839.86"/>
    <n v="26"/>
    <n v="23"/>
    <n v="41301.06"/>
    <n v="4728.95"/>
    <x v="1"/>
    <x v="0"/>
  </r>
  <r>
    <s v="R00274"/>
    <x v="2"/>
    <n v="22"/>
    <x v="10"/>
    <n v="9340.23"/>
    <n v="5536.9"/>
    <n v="45"/>
    <n v="26"/>
    <n v="70261.81"/>
    <n v="3316.33"/>
    <x v="0"/>
    <x v="0"/>
  </r>
  <r>
    <s v="R01270"/>
    <x v="3"/>
    <n v="35"/>
    <x v="11"/>
    <n v="32810.94"/>
    <n v="29149.09"/>
    <n v="62"/>
    <n v="28"/>
    <n v="14743.13"/>
    <n v="1686.36"/>
    <x v="0"/>
    <x v="0"/>
  </r>
  <r>
    <s v="R00531"/>
    <x v="3"/>
    <n v="90"/>
    <x v="11"/>
    <n v="76340.91"/>
    <n v="66491.62"/>
    <n v="56"/>
    <n v="12"/>
    <n v="0"/>
    <n v="4640.8900000000003"/>
    <x v="1"/>
    <x v="0"/>
  </r>
  <r>
    <s v="R00938"/>
    <x v="3"/>
    <n v="103"/>
    <x v="11"/>
    <n v="64443.61"/>
    <n v="44606.44"/>
    <n v="13"/>
    <n v="56"/>
    <n v="49400.27"/>
    <n v="6259.72"/>
    <x v="0"/>
    <x v="0"/>
  </r>
  <r>
    <s v="R01253"/>
    <x v="4"/>
    <n v="105"/>
    <x v="11"/>
    <n v="84636.5"/>
    <n v="59059.51"/>
    <n v="38"/>
    <n v="34"/>
    <n v="40399.300000000003"/>
    <n v="0"/>
    <x v="0"/>
    <x v="0"/>
  </r>
  <r>
    <s v="R00532"/>
    <x v="2"/>
    <n v="89"/>
    <x v="11"/>
    <n v="76189.929999999993"/>
    <n v="74909.72"/>
    <n v="10"/>
    <n v="15"/>
    <n v="22449.01"/>
    <n v="2102.02"/>
    <x v="0"/>
    <x v="0"/>
  </r>
  <r>
    <s v="R01138"/>
    <x v="0"/>
    <n v="15"/>
    <x v="11"/>
    <n v="22197.75"/>
    <n v="16121.51"/>
    <n v="32"/>
    <n v="71"/>
    <n v="11099.43"/>
    <n v="4808.97"/>
    <x v="0"/>
    <x v="0"/>
  </r>
  <r>
    <s v="R00494"/>
    <x v="3"/>
    <n v="24"/>
    <x v="11"/>
    <n v="33515.15"/>
    <n v="31801.27"/>
    <n v="31"/>
    <n v="29"/>
    <n v="28016.11"/>
    <n v="4531.1899999999996"/>
    <x v="1"/>
    <x v="0"/>
  </r>
  <r>
    <s v="R01596"/>
    <x v="3"/>
    <n v="86"/>
    <x v="11"/>
    <n v="56395.66"/>
    <n v="52518.07"/>
    <n v="73"/>
    <n v="48"/>
    <n v="30605.35"/>
    <n v="4275.13"/>
    <x v="0"/>
    <x v="0"/>
  </r>
  <r>
    <s v="R00497"/>
    <x v="5"/>
    <n v="75"/>
    <x v="11"/>
    <n v="56009.3"/>
    <n v="34942.04"/>
    <n v="14"/>
    <n v="17"/>
    <n v="46634.22"/>
    <n v="6773.82"/>
    <x v="0"/>
    <x v="0"/>
  </r>
  <r>
    <s v="R00744"/>
    <x v="4"/>
    <n v="111"/>
    <x v="11"/>
    <n v="73957.070000000007"/>
    <n v="74232.240000000005"/>
    <n v="41"/>
    <n v="12"/>
    <n v="60956.43"/>
    <n v="14101.54"/>
    <x v="0"/>
    <x v="0"/>
  </r>
  <r>
    <s v="R01158"/>
    <x v="5"/>
    <n v="89"/>
    <x v="11"/>
    <n v="84427.71"/>
    <n v="89320.3"/>
    <n v="58"/>
    <n v="34"/>
    <n v="66754.52"/>
    <n v="0"/>
    <x v="0"/>
    <x v="0"/>
  </r>
  <r>
    <s v="R00516"/>
    <x v="0"/>
    <n v="116"/>
    <x v="11"/>
    <n v="90860.2"/>
    <n v="84154.79"/>
    <n v="31"/>
    <n v="62"/>
    <n v="62706.73"/>
    <n v="5769.57"/>
    <x v="1"/>
    <x v="0"/>
  </r>
  <r>
    <s v="R00967"/>
    <x v="1"/>
    <n v="63"/>
    <x v="11"/>
    <n v="58148.61"/>
    <n v="43135.31"/>
    <n v="30"/>
    <n v="10"/>
    <n v="31814.97"/>
    <n v="8297.2999999999993"/>
    <x v="1"/>
    <x v="0"/>
  </r>
  <r>
    <s v="R01492"/>
    <x v="5"/>
    <n v="120"/>
    <x v="11"/>
    <n v="93895.14"/>
    <n v="89412.96"/>
    <n v="55"/>
    <n v="0"/>
    <n v="26721.93"/>
    <n v="3545.32"/>
    <x v="0"/>
    <x v="0"/>
  </r>
  <r>
    <s v="R01490"/>
    <x v="1"/>
    <n v="68"/>
    <x v="11"/>
    <n v="70911.88"/>
    <n v="41849.29"/>
    <n v="10"/>
    <n v="47"/>
    <n v="51054.93"/>
    <n v="7273.99"/>
    <x v="0"/>
    <x v="0"/>
  </r>
  <r>
    <s v="R00176"/>
    <x v="2"/>
    <n v="34"/>
    <x v="11"/>
    <n v="33851.14"/>
    <n v="23433.439999999999"/>
    <n v="40"/>
    <n v="0"/>
    <n v="12578.63"/>
    <n v="2580.3200000000002"/>
    <x v="0"/>
    <x v="0"/>
  </r>
  <r>
    <s v="R00307"/>
    <x v="5"/>
    <n v="7"/>
    <x v="11"/>
    <n v="14537.75"/>
    <n v="11729.29"/>
    <n v="41"/>
    <n v="48"/>
    <n v="18736.72"/>
    <n v="1732.63"/>
    <x v="1"/>
    <x v="0"/>
  </r>
  <r>
    <s v="R01169"/>
    <x v="0"/>
    <n v="15"/>
    <x v="11"/>
    <n v="25451.14"/>
    <n v="19902.310000000001"/>
    <n v="40"/>
    <n v="19"/>
    <n v="19582.509999999998"/>
    <n v="8851.98"/>
    <x v="0"/>
    <x v="0"/>
  </r>
  <r>
    <s v="R00523"/>
    <x v="2"/>
    <n v="99"/>
    <x v="11"/>
    <n v="91873.72"/>
    <n v="97997.89"/>
    <n v="13"/>
    <n v="49"/>
    <n v="21776"/>
    <n v="2276.0100000000002"/>
    <x v="0"/>
    <x v="0"/>
  </r>
  <r>
    <s v="R00024"/>
    <x v="1"/>
    <n v="20"/>
    <x v="11"/>
    <n v="17202.21"/>
    <n v="13292.94"/>
    <n v="57"/>
    <n v="25"/>
    <n v="58057"/>
    <n v="0"/>
    <x v="0"/>
    <x v="0"/>
  </r>
  <r>
    <s v="R00293"/>
    <x v="2"/>
    <n v="91"/>
    <x v="11"/>
    <n v="73167.58"/>
    <n v="73702.009999999995"/>
    <n v="43"/>
    <n v="21"/>
    <n v="2254.5700000000002"/>
    <n v="0"/>
    <x v="0"/>
    <x v="0"/>
  </r>
  <r>
    <s v="R01356"/>
    <x v="3"/>
    <n v="13"/>
    <x v="11"/>
    <n v="16660.849999999999"/>
    <n v="15050.83"/>
    <n v="66"/>
    <n v="19"/>
    <n v="66010.87"/>
    <n v="0"/>
    <x v="0"/>
    <x v="0"/>
  </r>
  <r>
    <s v="R00770"/>
    <x v="4"/>
    <n v="85"/>
    <x v="11"/>
    <n v="62301.38"/>
    <n v="60347.21"/>
    <n v="42"/>
    <n v="47"/>
    <n v="27885.65"/>
    <n v="2475.84"/>
    <x v="1"/>
    <x v="0"/>
  </r>
  <r>
    <s v="R01384"/>
    <x v="4"/>
    <n v="50"/>
    <x v="11"/>
    <n v="57932.71"/>
    <n v="42805.02"/>
    <n v="40"/>
    <n v="22"/>
    <n v="46224.24"/>
    <n v="5006.24"/>
    <x v="0"/>
    <x v="0"/>
  </r>
  <r>
    <s v="R01251"/>
    <x v="4"/>
    <n v="83"/>
    <x v="11"/>
    <n v="62587.78"/>
    <n v="46495.42"/>
    <n v="34"/>
    <n v="36"/>
    <n v="61567.63"/>
    <n v="0"/>
    <x v="0"/>
    <x v="0"/>
  </r>
  <r>
    <s v="R00756"/>
    <x v="2"/>
    <n v="85"/>
    <x v="11"/>
    <n v="59735.93"/>
    <n v="42719.12"/>
    <n v="24"/>
    <n v="28"/>
    <n v="89524.44"/>
    <n v="1527.07"/>
    <x v="0"/>
    <x v="0"/>
  </r>
  <r>
    <s v="R01079"/>
    <x v="2"/>
    <n v="66"/>
    <x v="11"/>
    <n v="56739.19"/>
    <n v="41514.79"/>
    <n v="25"/>
    <n v="8"/>
    <n v="71660.38"/>
    <n v="138.68"/>
    <x v="0"/>
    <x v="0"/>
  </r>
  <r>
    <s v="R00370"/>
    <x v="4"/>
    <n v="4"/>
    <x v="11"/>
    <n v="7436.41"/>
    <n v="4377.62"/>
    <n v="66"/>
    <n v="14"/>
    <n v="41008.53"/>
    <n v="1145.6600000000001"/>
    <x v="0"/>
    <x v="0"/>
  </r>
  <r>
    <s v="R00268"/>
    <x v="5"/>
    <n v="14"/>
    <x v="11"/>
    <n v="30153.64"/>
    <n v="26395.66"/>
    <n v="16"/>
    <n v="41"/>
    <n v="21011.5"/>
    <n v="856.09"/>
    <x v="0"/>
    <x v="0"/>
  </r>
  <r>
    <s v="R00391"/>
    <x v="1"/>
    <n v="9"/>
    <x v="11"/>
    <n v="30853.63"/>
    <n v="23289.759999999998"/>
    <n v="40"/>
    <n v="54"/>
    <n v="48558.54"/>
    <n v="0"/>
    <x v="0"/>
    <x v="0"/>
  </r>
  <r>
    <s v="R01202"/>
    <x v="1"/>
    <n v="49"/>
    <x v="11"/>
    <n v="59602.1"/>
    <n v="44609.23"/>
    <n v="20"/>
    <n v="17"/>
    <n v="57182.35"/>
    <n v="0"/>
    <x v="0"/>
    <x v="0"/>
  </r>
  <r>
    <s v="R01358"/>
    <x v="0"/>
    <n v="60"/>
    <x v="11"/>
    <n v="68904.91"/>
    <n v="65245.05"/>
    <n v="14"/>
    <n v="22"/>
    <n v="1395.52"/>
    <n v="1852.37"/>
    <x v="0"/>
    <x v="0"/>
  </r>
  <r>
    <s v="R00083"/>
    <x v="2"/>
    <n v="97"/>
    <x v="11"/>
    <n v="74868.31"/>
    <n v="47093.84"/>
    <n v="25"/>
    <n v="29"/>
    <n v="21392.05"/>
    <n v="7541.8"/>
    <x v="0"/>
    <x v="0"/>
  </r>
  <r>
    <s v="R00017"/>
    <x v="0"/>
    <n v="110"/>
    <x v="11"/>
    <n v="75196.929999999993"/>
    <n v="73674.37"/>
    <n v="49"/>
    <n v="8"/>
    <n v="32485.82"/>
    <n v="768.43"/>
    <x v="0"/>
    <x v="0"/>
  </r>
  <r>
    <s v="R01046"/>
    <x v="0"/>
    <n v="58"/>
    <x v="11"/>
    <n v="43913.13"/>
    <n v="31780.33"/>
    <n v="50"/>
    <n v="3"/>
    <n v="10599.57"/>
    <n v="1217.98"/>
    <x v="1"/>
    <x v="0"/>
  </r>
  <r>
    <s v="R00350"/>
    <x v="0"/>
    <n v="66"/>
    <x v="11"/>
    <n v="60202.52"/>
    <n v="59950.1"/>
    <n v="31"/>
    <n v="0"/>
    <n v="26610.7"/>
    <n v="0"/>
    <x v="0"/>
    <x v="0"/>
  </r>
  <r>
    <s v="R01193"/>
    <x v="2"/>
    <n v="105"/>
    <x v="11"/>
    <n v="86337.74"/>
    <n v="54080.91"/>
    <n v="59"/>
    <n v="21"/>
    <n v="62124.31"/>
    <n v="0"/>
    <x v="0"/>
    <x v="0"/>
  </r>
  <r>
    <s v="R00430"/>
    <x v="1"/>
    <n v="81"/>
    <x v="11"/>
    <n v="75513.48"/>
    <n v="59920.06"/>
    <n v="48"/>
    <n v="0"/>
    <n v="6672.76"/>
    <n v="3674.91"/>
    <x v="1"/>
    <x v="0"/>
  </r>
  <r>
    <s v="R00432"/>
    <x v="3"/>
    <n v="47"/>
    <x v="11"/>
    <n v="49545.919999999998"/>
    <n v="51462.75"/>
    <n v="17"/>
    <n v="16"/>
    <n v="42385.26"/>
    <n v="6949.89"/>
    <x v="0"/>
    <x v="0"/>
  </r>
  <r>
    <s v="R01023"/>
    <x v="0"/>
    <n v="89"/>
    <x v="11"/>
    <n v="59894.27"/>
    <n v="52137.46"/>
    <n v="27"/>
    <n v="5"/>
    <n v="11913.13"/>
    <n v="4897.6899999999996"/>
    <x v="0"/>
    <x v="0"/>
  </r>
  <r>
    <s v="R00449"/>
    <x v="0"/>
    <n v="107"/>
    <x v="11"/>
    <n v="78351.92"/>
    <n v="69381.62"/>
    <n v="34"/>
    <n v="24"/>
    <n v="61466.42"/>
    <n v="1397.45"/>
    <x v="0"/>
    <x v="0"/>
  </r>
  <r>
    <s v="R00278"/>
    <x v="2"/>
    <n v="14"/>
    <x v="11"/>
    <n v="11308.33"/>
    <n v="11234.6"/>
    <n v="49"/>
    <n v="0"/>
    <n v="9755.8700000000008"/>
    <n v="13460.28"/>
    <x v="0"/>
    <x v="0"/>
  </r>
  <r>
    <s v="R00454"/>
    <x v="5"/>
    <n v="93"/>
    <x v="11"/>
    <n v="80214.67"/>
    <n v="63722.54"/>
    <n v="40"/>
    <n v="31"/>
    <n v="50323.71"/>
    <n v="11010.5"/>
    <x v="0"/>
    <x v="0"/>
  </r>
  <r>
    <s v="R01163"/>
    <x v="5"/>
    <n v="67"/>
    <x v="11"/>
    <n v="59473.18"/>
    <n v="34612.9"/>
    <n v="19"/>
    <n v="0"/>
    <n v="60993.78"/>
    <n v="0"/>
    <x v="0"/>
    <x v="0"/>
  </r>
  <r>
    <s v="R00763"/>
    <x v="0"/>
    <n v="81"/>
    <x v="11"/>
    <n v="88820.1"/>
    <n v="55248.1"/>
    <n v="50"/>
    <n v="25"/>
    <n v="0"/>
    <n v="957.64"/>
    <x v="0"/>
    <x v="0"/>
  </r>
  <r>
    <s v="R00736"/>
    <x v="3"/>
    <n v="39"/>
    <x v="11"/>
    <n v="46953.99"/>
    <n v="40211.61"/>
    <n v="56"/>
    <n v="29"/>
    <n v="38419.129999999997"/>
    <n v="3715.79"/>
    <x v="0"/>
    <x v="0"/>
  </r>
  <r>
    <s v="R00458"/>
    <x v="0"/>
    <n v="25"/>
    <x v="11"/>
    <n v="55880.55"/>
    <n v="49904.55"/>
    <n v="63"/>
    <n v="28"/>
    <n v="870.79"/>
    <n v="0"/>
    <x v="1"/>
    <x v="0"/>
  </r>
  <r>
    <s v="R01008"/>
    <x v="5"/>
    <n v="105"/>
    <x v="11"/>
    <n v="82627.8"/>
    <n v="68124.27"/>
    <n v="32"/>
    <n v="34"/>
    <n v="61519.9"/>
    <n v="1576.98"/>
    <x v="1"/>
    <x v="0"/>
  </r>
  <r>
    <s v="R00461"/>
    <x v="2"/>
    <n v="110"/>
    <x v="11"/>
    <n v="66586.429999999993"/>
    <n v="57618.15"/>
    <n v="48"/>
    <n v="6"/>
    <n v="32699.27"/>
    <n v="0"/>
    <x v="0"/>
    <x v="0"/>
  </r>
  <r>
    <s v="R00335"/>
    <x v="3"/>
    <n v="57"/>
    <x v="11"/>
    <n v="53444.800000000003"/>
    <n v="48309.02"/>
    <n v="44"/>
    <n v="3"/>
    <n v="42078.17"/>
    <n v="2775.67"/>
    <x v="0"/>
    <x v="0"/>
  </r>
  <r>
    <s v="R00330"/>
    <x v="3"/>
    <n v="67"/>
    <x v="11"/>
    <n v="48706.84"/>
    <n v="29472.31"/>
    <n v="55"/>
    <n v="51"/>
    <n v="28708.28"/>
    <n v="2134.27"/>
    <x v="0"/>
    <x v="0"/>
  </r>
  <r>
    <s v="R01509"/>
    <x v="3"/>
    <n v="64"/>
    <x v="11"/>
    <n v="57413.64"/>
    <n v="59379.97"/>
    <n v="24"/>
    <n v="60"/>
    <n v="0"/>
    <n v="5838.08"/>
    <x v="0"/>
    <x v="0"/>
  </r>
  <r>
    <s v="R00981"/>
    <x v="3"/>
    <n v="39"/>
    <x v="11"/>
    <n v="31062.55"/>
    <n v="28902.57"/>
    <n v="31"/>
    <n v="29"/>
    <n v="52315.57"/>
    <n v="26.67"/>
    <x v="0"/>
    <x v="0"/>
  </r>
  <r>
    <s v="R00535"/>
    <x v="5"/>
    <n v="62"/>
    <x v="11"/>
    <n v="63924.1"/>
    <n v="40050.07"/>
    <n v="59"/>
    <n v="47"/>
    <n v="63241.59"/>
    <n v="0"/>
    <x v="0"/>
    <x v="0"/>
  </r>
  <r>
    <s v="R00094"/>
    <x v="4"/>
    <n v="92"/>
    <x v="11"/>
    <n v="74785.02"/>
    <n v="65876.399999999994"/>
    <n v="86"/>
    <n v="55"/>
    <n v="42276.41"/>
    <n v="2856.28"/>
    <x v="0"/>
    <x v="0"/>
  </r>
  <r>
    <s v="R00861"/>
    <x v="4"/>
    <n v="49"/>
    <x v="11"/>
    <n v="53093.4"/>
    <n v="49449.58"/>
    <n v="56"/>
    <n v="22"/>
    <n v="26283.78"/>
    <n v="10573.94"/>
    <x v="0"/>
    <x v="0"/>
  </r>
  <r>
    <s v="R00773"/>
    <x v="5"/>
    <n v="118"/>
    <x v="11"/>
    <n v="103230.51"/>
    <n v="71640.490000000005"/>
    <n v="63"/>
    <n v="24"/>
    <n v="28550.5"/>
    <n v="8151.45"/>
    <x v="0"/>
    <x v="0"/>
  </r>
  <r>
    <s v="R00041"/>
    <x v="4"/>
    <n v="50"/>
    <x v="11"/>
    <n v="58757.63"/>
    <n v="46294.79"/>
    <n v="47"/>
    <n v="19"/>
    <n v="3723.71"/>
    <n v="9027.94"/>
    <x v="0"/>
    <x v="0"/>
  </r>
  <r>
    <s v="R00774"/>
    <x v="0"/>
    <n v="89"/>
    <x v="11"/>
    <n v="79701"/>
    <n v="77072.17"/>
    <n v="37"/>
    <n v="11"/>
    <n v="22526.2"/>
    <n v="0"/>
    <x v="0"/>
    <x v="0"/>
  </r>
  <r>
    <s v="R00657"/>
    <x v="0"/>
    <n v="82"/>
    <x v="11"/>
    <n v="73754.789999999994"/>
    <n v="57166.22"/>
    <n v="37"/>
    <n v="15"/>
    <n v="31559.4"/>
    <n v="8794.6299999999992"/>
    <x v="0"/>
    <x v="0"/>
  </r>
  <r>
    <s v="R00039"/>
    <x v="4"/>
    <n v="30"/>
    <x v="11"/>
    <n v="21866.54"/>
    <n v="14616.62"/>
    <n v="25"/>
    <n v="29"/>
    <n v="0"/>
    <n v="7455.62"/>
    <x v="0"/>
    <x v="0"/>
  </r>
  <r>
    <s v="R00825"/>
    <x v="3"/>
    <n v="80"/>
    <x v="11"/>
    <n v="80768.13"/>
    <n v="68466.25"/>
    <n v="71"/>
    <n v="57"/>
    <n v="43315.58"/>
    <n v="4199.74"/>
    <x v="1"/>
    <x v="0"/>
  </r>
  <r>
    <s v="R00652"/>
    <x v="0"/>
    <n v="34"/>
    <x v="11"/>
    <n v="30800.240000000002"/>
    <n v="31638.14"/>
    <n v="47"/>
    <n v="3"/>
    <n v="46575.32"/>
    <n v="1113.98"/>
    <x v="0"/>
    <x v="0"/>
  </r>
  <r>
    <s v="R01322"/>
    <x v="5"/>
    <n v="44"/>
    <x v="11"/>
    <n v="48891.24"/>
    <n v="35454.769999999997"/>
    <n v="55"/>
    <n v="6"/>
    <n v="40312.19"/>
    <n v="448.75"/>
    <x v="0"/>
    <x v="0"/>
  </r>
  <r>
    <s v="R00578"/>
    <x v="3"/>
    <n v="62"/>
    <x v="11"/>
    <n v="51758.93"/>
    <n v="36702.42"/>
    <n v="10"/>
    <n v="6"/>
    <n v="22917.07"/>
    <n v="0"/>
    <x v="1"/>
    <x v="0"/>
  </r>
  <r>
    <s v="R00894"/>
    <x v="3"/>
    <n v="37"/>
    <x v="11"/>
    <n v="40706.75"/>
    <n v="40871.449999999997"/>
    <n v="28"/>
    <n v="38"/>
    <n v="72023.67"/>
    <n v="11573.53"/>
    <x v="0"/>
    <x v="0"/>
  </r>
  <r>
    <s v="R00636"/>
    <x v="3"/>
    <n v="107"/>
    <x v="11"/>
    <n v="94780.45"/>
    <n v="58565.95"/>
    <n v="32"/>
    <n v="45"/>
    <n v="16507.22"/>
    <n v="5798.14"/>
    <x v="0"/>
    <x v="0"/>
  </r>
  <r>
    <s v="R00580"/>
    <x v="4"/>
    <n v="68"/>
    <x v="11"/>
    <n v="71443.710000000006"/>
    <n v="76033.289999999994"/>
    <n v="38"/>
    <n v="22"/>
    <n v="47262.400000000001"/>
    <n v="7921.44"/>
    <x v="0"/>
    <x v="0"/>
  </r>
  <r>
    <s v="R00843"/>
    <x v="5"/>
    <n v="120"/>
    <x v="11"/>
    <n v="93013.21"/>
    <n v="72046.02"/>
    <n v="38"/>
    <n v="13"/>
    <n v="38675.58"/>
    <n v="3360.45"/>
    <x v="0"/>
    <x v="0"/>
  </r>
  <r>
    <s v="R00625"/>
    <x v="5"/>
    <n v="90"/>
    <x v="11"/>
    <n v="63137.37"/>
    <n v="51998.45"/>
    <n v="71"/>
    <n v="74"/>
    <n v="18986.13"/>
    <n v="4963.5600000000004"/>
    <x v="1"/>
    <x v="0"/>
  </r>
  <r>
    <s v="R00851"/>
    <x v="3"/>
    <n v="59"/>
    <x v="11"/>
    <n v="54973.34"/>
    <n v="55696.22"/>
    <n v="48"/>
    <n v="31"/>
    <n v="51191.48"/>
    <n v="4318.34"/>
    <x v="1"/>
    <x v="0"/>
  </r>
  <r>
    <s v="R00206"/>
    <x v="4"/>
    <n v="89"/>
    <x v="11"/>
    <n v="63562.61"/>
    <n v="45327.75"/>
    <n v="21"/>
    <n v="7"/>
    <n v="70995.95"/>
    <n v="1724.64"/>
    <x v="0"/>
    <x v="0"/>
  </r>
  <r>
    <s v="R01350"/>
    <x v="2"/>
    <n v="92"/>
    <x v="11"/>
    <n v="51545.26"/>
    <n v="37337.449999999997"/>
    <n v="62"/>
    <n v="18"/>
    <n v="89962.78"/>
    <n v="10155.959999999999"/>
    <x v="0"/>
    <x v="0"/>
  </r>
  <r>
    <s v="R00853"/>
    <x v="0"/>
    <n v="81"/>
    <x v="11"/>
    <n v="72385.56"/>
    <n v="75532.160000000003"/>
    <n v="52"/>
    <n v="42"/>
    <n v="68075.83"/>
    <n v="3014.76"/>
    <x v="1"/>
    <x v="0"/>
  </r>
  <r>
    <s v="R00929"/>
    <x v="1"/>
    <n v="21"/>
    <x v="11"/>
    <n v="14508.73"/>
    <n v="12184.91"/>
    <n v="21"/>
    <n v="38"/>
    <n v="35785.99"/>
    <n v="4483.8999999999996"/>
    <x v="0"/>
    <x v="0"/>
  </r>
  <r>
    <s v="R01449"/>
    <x v="0"/>
    <n v="11"/>
    <x v="11"/>
    <n v="21444.55"/>
    <n v="18853.75"/>
    <n v="21"/>
    <n v="42"/>
    <n v="59244.160000000003"/>
    <n v="3841.66"/>
    <x v="0"/>
    <x v="0"/>
  </r>
  <r>
    <s v="R00879"/>
    <x v="2"/>
    <n v="62"/>
    <x v="11"/>
    <n v="56288.800000000003"/>
    <n v="57971.95"/>
    <n v="52"/>
    <n v="0"/>
    <n v="28658.12"/>
    <n v="9261.32"/>
    <x v="0"/>
    <x v="0"/>
  </r>
  <r>
    <s v="R00165"/>
    <x v="0"/>
    <n v="45"/>
    <x v="11"/>
    <n v="35736.550000000003"/>
    <n v="24905.23"/>
    <n v="32"/>
    <n v="36"/>
    <n v="79820.31"/>
    <n v="6885.03"/>
    <x v="0"/>
    <x v="0"/>
  </r>
  <r>
    <s v="R00060"/>
    <x v="5"/>
    <n v="22"/>
    <x v="11"/>
    <n v="36270.68"/>
    <n v="23095.98"/>
    <n v="18"/>
    <n v="1"/>
    <n v="17698.61"/>
    <n v="8464.0300000000007"/>
    <x v="0"/>
    <x v="0"/>
  </r>
  <r>
    <s v="R00911"/>
    <x v="5"/>
    <n v="86"/>
    <x v="11"/>
    <n v="85499.23"/>
    <n v="67452.03"/>
    <n v="23"/>
    <n v="11"/>
    <n v="0"/>
    <n v="7844.81"/>
    <x v="0"/>
    <x v="0"/>
  </r>
  <r>
    <s v="R01332"/>
    <x v="0"/>
    <n v="58"/>
    <x v="11"/>
    <n v="44168.05"/>
    <n v="36664.9"/>
    <n v="19"/>
    <n v="34"/>
    <n v="21341.54"/>
    <n v="1817.09"/>
    <x v="0"/>
    <x v="0"/>
  </r>
  <r>
    <s v="R01287"/>
    <x v="5"/>
    <n v="44"/>
    <x v="11"/>
    <n v="33275.629999999997"/>
    <n v="34616"/>
    <n v="15"/>
    <n v="45"/>
    <n v="16350.56"/>
    <n v="0"/>
    <x v="0"/>
    <x v="0"/>
  </r>
  <r>
    <s v="R01470"/>
    <x v="0"/>
    <n v="112"/>
    <x v="11"/>
    <n v="102638.44"/>
    <n v="68104.460000000006"/>
    <n v="37"/>
    <n v="24"/>
    <n v="31160.39"/>
    <n v="10297.94"/>
    <x v="0"/>
    <x v="0"/>
  </r>
  <r>
    <s v="R01274"/>
    <x v="3"/>
    <n v="91"/>
    <x v="11"/>
    <n v="57597.11"/>
    <n v="52067.040000000001"/>
    <n v="42"/>
    <n v="49"/>
    <n v="40470.22"/>
    <n v="3876.43"/>
    <x v="0"/>
    <x v="0"/>
  </r>
  <r>
    <s v="R01401"/>
    <x v="5"/>
    <n v="26"/>
    <x v="11"/>
    <n v="43207.56"/>
    <n v="40434.58"/>
    <n v="28"/>
    <n v="37"/>
    <n v="31229.24"/>
    <n v="1079.5"/>
    <x v="0"/>
    <x v="0"/>
  </r>
  <r>
    <s v="R00692"/>
    <x v="0"/>
    <n v="102"/>
    <x v="11"/>
    <n v="77615.12"/>
    <n v="67228.66"/>
    <n v="25"/>
    <n v="45"/>
    <n v="13313.31"/>
    <n v="3306.88"/>
    <x v="0"/>
    <x v="0"/>
  </r>
  <r>
    <s v="R01483"/>
    <x v="1"/>
    <n v="100"/>
    <x v="11"/>
    <n v="74851.34"/>
    <n v="68514.539999999994"/>
    <n v="74"/>
    <n v="39"/>
    <n v="49458.81"/>
    <n v="0"/>
    <x v="0"/>
    <x v="0"/>
  </r>
  <r>
    <s v="R01276"/>
    <x v="3"/>
    <n v="108"/>
    <x v="11"/>
    <n v="84972.05"/>
    <n v="87962.21"/>
    <n v="61"/>
    <n v="38"/>
    <n v="5265.69"/>
    <n v="12872.51"/>
    <x v="1"/>
    <x v="0"/>
  </r>
  <r>
    <s v="R00546"/>
    <x v="3"/>
    <n v="80"/>
    <x v="11"/>
    <n v="48602.46"/>
    <n v="39183.1"/>
    <n v="40"/>
    <n v="32"/>
    <n v="28248.34"/>
    <n v="7252.18"/>
    <x v="0"/>
    <x v="0"/>
  </r>
  <r>
    <s v="R00684"/>
    <x v="4"/>
    <n v="62"/>
    <x v="11"/>
    <n v="44330.59"/>
    <n v="42435.519999999997"/>
    <n v="50"/>
    <n v="19"/>
    <n v="51833.85"/>
    <n v="3393.28"/>
    <x v="0"/>
    <x v="0"/>
  </r>
  <r>
    <s v="R01408"/>
    <x v="1"/>
    <n v="46"/>
    <x v="11"/>
    <n v="59629.4"/>
    <n v="55085.35"/>
    <n v="53"/>
    <n v="32"/>
    <n v="33174.449999999997"/>
    <n v="9202.7000000000007"/>
    <x v="1"/>
    <x v="0"/>
  </r>
  <r>
    <s v="R00918"/>
    <x v="0"/>
    <n v="112"/>
    <x v="11"/>
    <n v="93966.33"/>
    <n v="75593.460000000006"/>
    <n v="26"/>
    <n v="28"/>
    <n v="0"/>
    <n v="8416.8799999999992"/>
    <x v="0"/>
    <x v="0"/>
  </r>
  <r>
    <s v="R00600"/>
    <x v="4"/>
    <n v="7"/>
    <x v="11"/>
    <n v="6089.79"/>
    <n v="4197.0200000000004"/>
    <n v="38"/>
    <n v="63"/>
    <n v="29812.11"/>
    <n v="4106.97"/>
    <x v="1"/>
    <x v="0"/>
  </r>
  <r>
    <s v="R00915"/>
    <x v="1"/>
    <n v="24"/>
    <x v="11"/>
    <n v="24870.799999999999"/>
    <n v="22235.37"/>
    <n v="32"/>
    <n v="56"/>
    <n v="66424.31"/>
    <n v="12370.92"/>
    <x v="0"/>
    <x v="0"/>
  </r>
  <r>
    <s v="R01411"/>
    <x v="0"/>
    <n v="113"/>
    <x v="11"/>
    <n v="110244.81"/>
    <n v="94992.29"/>
    <n v="10"/>
    <n v="35"/>
    <n v="26453.01"/>
    <n v="648.88"/>
    <x v="0"/>
    <x v="0"/>
  </r>
  <r>
    <s v="R01280"/>
    <x v="5"/>
    <n v="25"/>
    <x v="11"/>
    <n v="30896.01"/>
    <n v="25752.95"/>
    <n v="20"/>
    <n v="67"/>
    <n v="50066.41"/>
    <n v="0"/>
    <x v="0"/>
    <x v="0"/>
  </r>
  <r>
    <s v="R00008"/>
    <x v="1"/>
    <n v="119"/>
    <x v="0"/>
    <n v="89116.46"/>
    <n v="67274.679999999993"/>
    <n v="47"/>
    <n v="7"/>
    <n v="45272.6"/>
    <n v="0"/>
    <x v="0"/>
    <x v="1"/>
  </r>
  <r>
    <s v="R01058"/>
    <x v="4"/>
    <n v="47"/>
    <x v="0"/>
    <n v="49613.52"/>
    <n v="37606.269999999997"/>
    <n v="22"/>
    <n v="38"/>
    <n v="19271.03"/>
    <n v="2693.28"/>
    <x v="0"/>
    <x v="1"/>
  </r>
  <r>
    <s v="R00096"/>
    <x v="3"/>
    <n v="23"/>
    <x v="0"/>
    <n v="35808.47"/>
    <n v="38217.78"/>
    <n v="44"/>
    <n v="34"/>
    <n v="30472.639999999999"/>
    <n v="0"/>
    <x v="0"/>
    <x v="1"/>
  </r>
  <r>
    <s v="R00407"/>
    <x v="4"/>
    <n v="120"/>
    <x v="0"/>
    <n v="104245.35"/>
    <n v="88557.84"/>
    <n v="31"/>
    <n v="0"/>
    <n v="56055.69"/>
    <n v="0"/>
    <x v="0"/>
    <x v="1"/>
  </r>
  <r>
    <s v="R01306"/>
    <x v="2"/>
    <n v="64"/>
    <x v="0"/>
    <n v="33995.26"/>
    <n v="21800.97"/>
    <n v="34"/>
    <n v="31"/>
    <n v="10499.99"/>
    <n v="281.81"/>
    <x v="0"/>
    <x v="1"/>
  </r>
  <r>
    <s v="R00610"/>
    <x v="5"/>
    <n v="61"/>
    <x v="0"/>
    <n v="46359.51"/>
    <n v="43473"/>
    <n v="47"/>
    <n v="17"/>
    <n v="9116.6200000000008"/>
    <n v="0"/>
    <x v="0"/>
    <x v="1"/>
  </r>
  <r>
    <s v="R00324"/>
    <x v="3"/>
    <n v="19"/>
    <x v="0"/>
    <n v="26688.42"/>
    <n v="16329.05"/>
    <n v="57"/>
    <n v="11"/>
    <n v="38025.19"/>
    <n v="8432.41"/>
    <x v="0"/>
    <x v="1"/>
  </r>
  <r>
    <s v="R00125"/>
    <x v="1"/>
    <n v="47"/>
    <x v="0"/>
    <n v="30631.02"/>
    <n v="30823.55"/>
    <n v="18"/>
    <n v="10"/>
    <n v="5880.6"/>
    <n v="0"/>
    <x v="0"/>
    <x v="1"/>
  </r>
  <r>
    <s v="R00422"/>
    <x v="5"/>
    <n v="17"/>
    <x v="0"/>
    <n v="9531.64"/>
    <n v="5562.94"/>
    <n v="44"/>
    <n v="0"/>
    <n v="5859.27"/>
    <n v="333.11"/>
    <x v="0"/>
    <x v="1"/>
  </r>
  <r>
    <s v="R00424"/>
    <x v="5"/>
    <n v="85"/>
    <x v="0"/>
    <n v="74697.429999999993"/>
    <n v="58174"/>
    <n v="34"/>
    <n v="38"/>
    <n v="30591.49"/>
    <n v="4997.5600000000004"/>
    <x v="0"/>
    <x v="1"/>
  </r>
  <r>
    <s v="R00049"/>
    <x v="3"/>
    <n v="58"/>
    <x v="0"/>
    <n v="45651.82"/>
    <n v="36420.720000000001"/>
    <n v="46"/>
    <n v="5"/>
    <n v="70624.2"/>
    <n v="0"/>
    <x v="0"/>
    <x v="1"/>
  </r>
  <r>
    <s v="R01349"/>
    <x v="1"/>
    <n v="29"/>
    <x v="0"/>
    <n v="38034.949999999997"/>
    <n v="36800.58"/>
    <n v="79"/>
    <n v="72"/>
    <n v="0"/>
    <n v="2707.06"/>
    <x v="0"/>
    <x v="1"/>
  </r>
  <r>
    <s v="R01037"/>
    <x v="3"/>
    <n v="93"/>
    <x v="0"/>
    <n v="86622.05"/>
    <n v="60192.88"/>
    <n v="24"/>
    <n v="15"/>
    <n v="36990.14"/>
    <n v="3617.3"/>
    <x v="0"/>
    <x v="1"/>
  </r>
  <r>
    <s v="R01182"/>
    <x v="1"/>
    <n v="98"/>
    <x v="0"/>
    <n v="79760.78"/>
    <n v="51182.73"/>
    <n v="47"/>
    <n v="22"/>
    <n v="19730.560000000001"/>
    <n v="19664.95"/>
    <x v="0"/>
    <x v="1"/>
  </r>
  <r>
    <s v="R01528"/>
    <x v="5"/>
    <n v="95"/>
    <x v="0"/>
    <n v="78194.679999999993"/>
    <n v="70413.09"/>
    <n v="10"/>
    <n v="5"/>
    <n v="33060.49"/>
    <n v="5089.79"/>
    <x v="0"/>
    <x v="1"/>
  </r>
  <r>
    <s v="R01367"/>
    <x v="2"/>
    <n v="76"/>
    <x v="0"/>
    <n v="68340.240000000005"/>
    <n v="64946.25"/>
    <n v="59"/>
    <n v="5"/>
    <n v="36232.67"/>
    <n v="7114.33"/>
    <x v="0"/>
    <x v="1"/>
  </r>
  <r>
    <s v="R01033"/>
    <x v="1"/>
    <n v="86"/>
    <x v="0"/>
    <n v="82767.87"/>
    <n v="55498.77"/>
    <n v="37"/>
    <n v="21"/>
    <n v="38872.04"/>
    <n v="0"/>
    <x v="0"/>
    <x v="1"/>
  </r>
  <r>
    <s v="R01030"/>
    <x v="5"/>
    <n v="62"/>
    <x v="0"/>
    <n v="73992.240000000005"/>
    <n v="45104.87"/>
    <n v="41"/>
    <n v="44"/>
    <n v="38260.1"/>
    <n v="0"/>
    <x v="0"/>
    <x v="1"/>
  </r>
  <r>
    <s v="R01300"/>
    <x v="2"/>
    <n v="101"/>
    <x v="0"/>
    <n v="93287.02"/>
    <n v="69310.649999999994"/>
    <n v="37"/>
    <n v="26"/>
    <n v="55777.66"/>
    <n v="7242.11"/>
    <x v="0"/>
    <x v="1"/>
  </r>
  <r>
    <s v="R00445"/>
    <x v="3"/>
    <n v="25"/>
    <x v="0"/>
    <n v="38282.800000000003"/>
    <n v="27759.34"/>
    <n v="49"/>
    <n v="19"/>
    <n v="44327.45"/>
    <n v="6950.74"/>
    <x v="0"/>
    <x v="1"/>
  </r>
  <r>
    <s v="R01226"/>
    <x v="2"/>
    <n v="32"/>
    <x v="0"/>
    <n v="14642.45"/>
    <n v="13033.14"/>
    <n v="21"/>
    <n v="14"/>
    <n v="0"/>
    <n v="4294.34"/>
    <x v="0"/>
    <x v="1"/>
  </r>
  <r>
    <s v="R01229"/>
    <x v="4"/>
    <n v="17"/>
    <x v="0"/>
    <n v="23130.25"/>
    <n v="20825.82"/>
    <n v="29"/>
    <n v="14"/>
    <n v="96360.97"/>
    <n v="1159.05"/>
    <x v="0"/>
    <x v="1"/>
  </r>
  <r>
    <s v="R01577"/>
    <x v="3"/>
    <n v="10"/>
    <x v="0"/>
    <n v="19192.240000000002"/>
    <n v="13458.57"/>
    <n v="42"/>
    <n v="66"/>
    <n v="24474.29"/>
    <n v="567.33000000000004"/>
    <x v="0"/>
    <x v="1"/>
  </r>
  <r>
    <s v="R00794"/>
    <x v="5"/>
    <n v="98"/>
    <x v="0"/>
    <n v="83141.13"/>
    <n v="60103"/>
    <n v="63"/>
    <n v="3"/>
    <n v="26956.52"/>
    <n v="0"/>
    <x v="0"/>
    <x v="1"/>
  </r>
  <r>
    <s v="R01152"/>
    <x v="4"/>
    <n v="54"/>
    <x v="0"/>
    <n v="38393.14"/>
    <n v="32138.799999999999"/>
    <n v="26"/>
    <n v="19"/>
    <n v="58988.19"/>
    <n v="6519.99"/>
    <x v="1"/>
    <x v="1"/>
  </r>
  <r>
    <s v="R00396"/>
    <x v="5"/>
    <n v="120"/>
    <x v="0"/>
    <n v="98582.92"/>
    <n v="81401.83"/>
    <n v="40"/>
    <n v="34"/>
    <n v="25126.26"/>
    <n v="7599.47"/>
    <x v="0"/>
    <x v="1"/>
  </r>
  <r>
    <s v="R00106"/>
    <x v="3"/>
    <n v="20"/>
    <x v="0"/>
    <n v="44987.19"/>
    <n v="36444.449999999997"/>
    <n v="35"/>
    <n v="32"/>
    <n v="61365.84"/>
    <n v="0"/>
    <x v="0"/>
    <x v="1"/>
  </r>
  <r>
    <s v="R01098"/>
    <x v="1"/>
    <n v="3"/>
    <x v="0"/>
    <n v="18081.91"/>
    <n v="16160.18"/>
    <n v="57"/>
    <n v="12"/>
    <n v="57376.63"/>
    <n v="12047.4"/>
    <x v="0"/>
    <x v="1"/>
  </r>
  <r>
    <s v="R00108"/>
    <x v="5"/>
    <n v="86"/>
    <x v="0"/>
    <n v="69904.789999999994"/>
    <n v="61318.27"/>
    <n v="75"/>
    <n v="30"/>
    <n v="0"/>
    <n v="2098.84"/>
    <x v="1"/>
    <x v="1"/>
  </r>
  <r>
    <s v="R00802"/>
    <x v="1"/>
    <n v="79"/>
    <x v="0"/>
    <n v="63251.8"/>
    <n v="61778.73"/>
    <n v="25"/>
    <n v="0"/>
    <n v="17788.349999999999"/>
    <n v="3391.67"/>
    <x v="0"/>
    <x v="1"/>
  </r>
  <r>
    <s v="R01567"/>
    <x v="5"/>
    <n v="83"/>
    <x v="0"/>
    <n v="82560.289999999994"/>
    <n v="69658.25"/>
    <n v="29"/>
    <n v="16"/>
    <n v="61621.22"/>
    <n v="6500.56"/>
    <x v="0"/>
    <x v="1"/>
  </r>
  <r>
    <s v="R00050"/>
    <x v="2"/>
    <n v="94"/>
    <x v="0"/>
    <n v="78430.5"/>
    <n v="81017.23"/>
    <n v="24"/>
    <n v="12"/>
    <n v="14602.72"/>
    <n v="2711.29"/>
    <x v="0"/>
    <x v="1"/>
  </r>
  <r>
    <s v="R00073"/>
    <x v="2"/>
    <n v="78"/>
    <x v="0"/>
    <n v="61148.47"/>
    <n v="56687.98"/>
    <n v="34"/>
    <n v="49"/>
    <n v="4518.92"/>
    <n v="0"/>
    <x v="0"/>
    <x v="1"/>
  </r>
  <r>
    <s v="R01091"/>
    <x v="3"/>
    <n v="8"/>
    <x v="0"/>
    <n v="11983.79"/>
    <n v="8840.34"/>
    <n v="21"/>
    <n v="38"/>
    <n v="44699.08"/>
    <n v="2517.63"/>
    <x v="0"/>
    <x v="1"/>
  </r>
  <r>
    <s v="R00038"/>
    <x v="3"/>
    <n v="41"/>
    <x v="0"/>
    <n v="45195.23"/>
    <n v="40805.01"/>
    <n v="31"/>
    <n v="54"/>
    <n v="28838.3"/>
    <n v="6236.64"/>
    <x v="1"/>
    <x v="1"/>
  </r>
  <r>
    <s v="R00079"/>
    <x v="0"/>
    <n v="6"/>
    <x v="0"/>
    <n v="8840.19"/>
    <n v="6749.7"/>
    <n v="30"/>
    <n v="56"/>
    <n v="27666.6"/>
    <n v="0"/>
    <x v="0"/>
    <x v="1"/>
  </r>
  <r>
    <s v="R01562"/>
    <x v="5"/>
    <n v="14"/>
    <x v="0"/>
    <n v="15537.29"/>
    <n v="9256.4599999999991"/>
    <n v="29"/>
    <n v="39"/>
    <n v="33630.199999999997"/>
    <n v="10019.58"/>
    <x v="0"/>
    <x v="1"/>
  </r>
  <r>
    <s v="R01599"/>
    <x v="0"/>
    <n v="78"/>
    <x v="0"/>
    <n v="63355.81"/>
    <n v="52940.79"/>
    <n v="35"/>
    <n v="8"/>
    <n v="43164.9"/>
    <n v="5095.2700000000004"/>
    <x v="0"/>
    <x v="1"/>
  </r>
  <r>
    <s v="R00679"/>
    <x v="1"/>
    <n v="68"/>
    <x v="0"/>
    <n v="55595.44"/>
    <n v="54376.69"/>
    <n v="10"/>
    <n v="18"/>
    <n v="66371.149999999994"/>
    <n v="298.56"/>
    <x v="0"/>
    <x v="1"/>
  </r>
  <r>
    <s v="R00078"/>
    <x v="3"/>
    <n v="92"/>
    <x v="0"/>
    <n v="70612.960000000006"/>
    <n v="47254.76"/>
    <n v="44"/>
    <n v="50"/>
    <n v="50193.32"/>
    <n v="7948.41"/>
    <x v="0"/>
    <x v="1"/>
  </r>
  <r>
    <s v="R00312"/>
    <x v="4"/>
    <n v="80"/>
    <x v="0"/>
    <n v="62456.74"/>
    <n v="42261.29"/>
    <n v="40"/>
    <n v="15"/>
    <n v="0"/>
    <n v="5193.7299999999996"/>
    <x v="0"/>
    <x v="1"/>
  </r>
  <r>
    <s v="R00010"/>
    <x v="2"/>
    <n v="21"/>
    <x v="0"/>
    <n v="30252.83"/>
    <n v="31664.67"/>
    <n v="21"/>
    <n v="38"/>
    <n v="30285.67"/>
    <n v="0"/>
    <x v="0"/>
    <x v="1"/>
  </r>
  <r>
    <s v="R00839"/>
    <x v="1"/>
    <n v="93"/>
    <x v="0"/>
    <n v="74262.179999999993"/>
    <n v="69878.81"/>
    <n v="38"/>
    <n v="54"/>
    <n v="21115.54"/>
    <n v="6706.69"/>
    <x v="0"/>
    <x v="1"/>
  </r>
  <r>
    <s v="R00378"/>
    <x v="1"/>
    <n v="15"/>
    <x v="0"/>
    <n v="19066.37"/>
    <n v="20085.78"/>
    <n v="43"/>
    <n v="48"/>
    <n v="38027.440000000002"/>
    <n v="0"/>
    <x v="0"/>
    <x v="1"/>
  </r>
  <r>
    <s v="R00632"/>
    <x v="3"/>
    <n v="110"/>
    <x v="0"/>
    <n v="93994.46"/>
    <n v="78880.84"/>
    <n v="64"/>
    <n v="24"/>
    <n v="44901.57"/>
    <n v="9152.98"/>
    <x v="1"/>
    <x v="1"/>
  </r>
  <r>
    <s v="R00284"/>
    <x v="3"/>
    <n v="97"/>
    <x v="0"/>
    <n v="80423.08"/>
    <n v="85099"/>
    <n v="39"/>
    <n v="0"/>
    <n v="51904.13"/>
    <n v="13697.12"/>
    <x v="0"/>
    <x v="1"/>
  </r>
  <r>
    <s v="R01148"/>
    <x v="4"/>
    <n v="61"/>
    <x v="0"/>
    <n v="57948.04"/>
    <n v="48656.7"/>
    <n v="54"/>
    <n v="37"/>
    <n v="32818.21"/>
    <n v="8950.43"/>
    <x v="0"/>
    <x v="1"/>
  </r>
  <r>
    <s v="R00342"/>
    <x v="4"/>
    <n v="88"/>
    <x v="0"/>
    <n v="73861.119999999995"/>
    <n v="55097.14"/>
    <n v="57"/>
    <n v="27"/>
    <n v="64800.639999999999"/>
    <n v="3042.92"/>
    <x v="0"/>
    <x v="1"/>
  </r>
  <r>
    <s v="R01216"/>
    <x v="5"/>
    <n v="21"/>
    <x v="0"/>
    <n v="23297.02"/>
    <n v="15827.1"/>
    <n v="53"/>
    <n v="27"/>
    <n v="2365.85"/>
    <n v="2180.83"/>
    <x v="0"/>
    <x v="1"/>
  </r>
  <r>
    <s v="R00310"/>
    <x v="1"/>
    <n v="108"/>
    <x v="0"/>
    <n v="89601.96"/>
    <n v="93233.13"/>
    <n v="44"/>
    <n v="55"/>
    <n v="23600.87"/>
    <n v="7510.95"/>
    <x v="1"/>
    <x v="1"/>
  </r>
  <r>
    <s v="R00383"/>
    <x v="1"/>
    <n v="104"/>
    <x v="0"/>
    <n v="84131.58"/>
    <n v="52284.38"/>
    <n v="18"/>
    <n v="15"/>
    <n v="37953.050000000003"/>
    <n v="0"/>
    <x v="0"/>
    <x v="1"/>
  </r>
  <r>
    <s v="R00539"/>
    <x v="5"/>
    <n v="82"/>
    <x v="0"/>
    <n v="79228.2"/>
    <n v="46997.78"/>
    <n v="34"/>
    <n v="42"/>
    <n v="8649.5300000000007"/>
    <n v="4024.62"/>
    <x v="0"/>
    <x v="1"/>
  </r>
  <r>
    <s v="R00571"/>
    <x v="4"/>
    <n v="15"/>
    <x v="0"/>
    <n v="12679.94"/>
    <n v="11503.69"/>
    <n v="71"/>
    <n v="32"/>
    <n v="20698.84"/>
    <n v="8093.14"/>
    <x v="1"/>
    <x v="1"/>
  </r>
  <r>
    <s v="R00471"/>
    <x v="2"/>
    <n v="89"/>
    <x v="0"/>
    <n v="61103.69"/>
    <n v="58624.29"/>
    <n v="15"/>
    <n v="18"/>
    <n v="59708.34"/>
    <n v="3894.1"/>
    <x v="0"/>
    <x v="1"/>
  </r>
  <r>
    <s v="R00718"/>
    <x v="2"/>
    <n v="11"/>
    <x v="0"/>
    <n v="10406.73"/>
    <n v="7832.63"/>
    <n v="25"/>
    <n v="10"/>
    <n v="985.44"/>
    <n v="3428.15"/>
    <x v="0"/>
    <x v="1"/>
  </r>
  <r>
    <s v="R00993"/>
    <x v="5"/>
    <n v="60"/>
    <x v="0"/>
    <n v="45127.54"/>
    <n v="41841.11"/>
    <n v="50"/>
    <n v="1"/>
    <n v="73954.850000000006"/>
    <n v="489.28"/>
    <x v="1"/>
    <x v="1"/>
  </r>
  <r>
    <s v="R01387"/>
    <x v="1"/>
    <n v="75"/>
    <x v="0"/>
    <n v="52219.11"/>
    <n v="54473.65"/>
    <n v="27"/>
    <n v="0"/>
    <n v="21281.85"/>
    <n v="7974.32"/>
    <x v="0"/>
    <x v="1"/>
  </r>
  <r>
    <s v="R01511"/>
    <x v="3"/>
    <n v="112"/>
    <x v="0"/>
    <n v="103783.37"/>
    <n v="92250.75"/>
    <n v="29"/>
    <n v="17"/>
    <n v="0"/>
    <n v="0"/>
    <x v="1"/>
    <x v="1"/>
  </r>
  <r>
    <s v="R01246"/>
    <x v="0"/>
    <n v="9"/>
    <x v="0"/>
    <n v="17024.22"/>
    <n v="9904.06"/>
    <n v="45"/>
    <n v="31"/>
    <n v="73621.7"/>
    <n v="1856.64"/>
    <x v="0"/>
    <x v="1"/>
  </r>
  <r>
    <s v="R00582"/>
    <x v="5"/>
    <n v="83"/>
    <x v="0"/>
    <n v="67375.789999999994"/>
    <n v="49804.35"/>
    <n v="42"/>
    <n v="13"/>
    <n v="7807.66"/>
    <n v="6432.73"/>
    <x v="1"/>
    <x v="1"/>
  </r>
  <r>
    <s v="R00070"/>
    <x v="0"/>
    <n v="92"/>
    <x v="0"/>
    <n v="72164.3"/>
    <n v="65087.64"/>
    <n v="34"/>
    <n v="22"/>
    <n v="23281.25"/>
    <n v="4673.74"/>
    <x v="1"/>
    <x v="1"/>
  </r>
  <r>
    <s v="R01289"/>
    <x v="2"/>
    <n v="19"/>
    <x v="0"/>
    <n v="32349.200000000001"/>
    <n v="28266.240000000002"/>
    <n v="10"/>
    <n v="0"/>
    <n v="69724.02"/>
    <n v="10036.459999999999"/>
    <x v="0"/>
    <x v="1"/>
  </r>
  <r>
    <s v="R00574"/>
    <x v="5"/>
    <n v="15"/>
    <x v="0"/>
    <n v="23839.45"/>
    <n v="25238.51"/>
    <n v="44"/>
    <n v="11"/>
    <n v="62353.04"/>
    <n v="0"/>
    <x v="1"/>
    <x v="1"/>
  </r>
  <r>
    <s v="R00448"/>
    <x v="3"/>
    <n v="53"/>
    <x v="0"/>
    <n v="65469.32"/>
    <n v="54746.92"/>
    <n v="51"/>
    <n v="35"/>
    <n v="52443.66"/>
    <n v="5505.15"/>
    <x v="1"/>
    <x v="1"/>
  </r>
  <r>
    <s v="R01498"/>
    <x v="3"/>
    <n v="40"/>
    <x v="0"/>
    <n v="21337.08"/>
    <n v="14073.42"/>
    <n v="60"/>
    <n v="28"/>
    <n v="23157.33"/>
    <n v="5603.22"/>
    <x v="0"/>
    <x v="1"/>
  </r>
  <r>
    <s v="R00500"/>
    <x v="4"/>
    <n v="104"/>
    <x v="0"/>
    <n v="80640.66"/>
    <n v="70240.7"/>
    <n v="65"/>
    <n v="1"/>
    <n v="84236.4"/>
    <n v="5881.65"/>
    <x v="0"/>
    <x v="1"/>
  </r>
  <r>
    <s v="R00569"/>
    <x v="0"/>
    <n v="17"/>
    <x v="0"/>
    <n v="26260.86"/>
    <n v="23528.22"/>
    <n v="34"/>
    <n v="5"/>
    <n v="18298.150000000001"/>
    <n v="0"/>
    <x v="0"/>
    <x v="1"/>
  </r>
  <r>
    <s v="R00909"/>
    <x v="4"/>
    <n v="30"/>
    <x v="0"/>
    <n v="29649.02"/>
    <n v="19872.41"/>
    <n v="26"/>
    <n v="38"/>
    <n v="12533.19"/>
    <n v="6105.58"/>
    <x v="0"/>
    <x v="1"/>
  </r>
  <r>
    <s v="R00518"/>
    <x v="0"/>
    <n v="55"/>
    <x v="0"/>
    <n v="42644.56"/>
    <n v="34356.910000000003"/>
    <n v="53"/>
    <n v="40"/>
    <n v="34990.97"/>
    <n v="1662.58"/>
    <x v="0"/>
    <x v="1"/>
  </r>
  <r>
    <s v="R00528"/>
    <x v="5"/>
    <n v="97"/>
    <x v="0"/>
    <n v="65271.39"/>
    <n v="57452.52"/>
    <n v="53"/>
    <n v="55"/>
    <n v="42919.86"/>
    <n v="6228.31"/>
    <x v="0"/>
    <x v="1"/>
  </r>
  <r>
    <s v="R00941"/>
    <x v="5"/>
    <n v="4"/>
    <x v="0"/>
    <n v="15619.41"/>
    <n v="12242.78"/>
    <n v="49"/>
    <n v="52"/>
    <n v="51050.22"/>
    <n v="10677.81"/>
    <x v="1"/>
    <x v="1"/>
  </r>
  <r>
    <s v="R00923"/>
    <x v="4"/>
    <n v="18"/>
    <x v="0"/>
    <n v="27080.720000000001"/>
    <n v="17288.810000000001"/>
    <n v="50"/>
    <n v="2"/>
    <n v="48066.85"/>
    <n v="7440.25"/>
    <x v="0"/>
    <x v="1"/>
  </r>
  <r>
    <s v="R01477"/>
    <x v="4"/>
    <n v="120"/>
    <x v="0"/>
    <n v="97257.02"/>
    <n v="100072.98"/>
    <n v="27"/>
    <n v="30"/>
    <n v="60813.69"/>
    <n v="4577.41"/>
    <x v="0"/>
    <x v="1"/>
  </r>
  <r>
    <s v="R01484"/>
    <x v="2"/>
    <n v="57"/>
    <x v="0"/>
    <n v="60539.519999999997"/>
    <n v="41715.199999999997"/>
    <n v="47"/>
    <n v="22"/>
    <n v="40861.949999999997"/>
    <n v="0"/>
    <x v="0"/>
    <x v="1"/>
  </r>
  <r>
    <s v="R00885"/>
    <x v="5"/>
    <n v="15"/>
    <x v="0"/>
    <n v="26441.48"/>
    <n v="17308.490000000002"/>
    <n v="44"/>
    <n v="18"/>
    <n v="31525.15"/>
    <n v="6534.01"/>
    <x v="0"/>
    <x v="1"/>
  </r>
  <r>
    <s v="R00469"/>
    <x v="2"/>
    <n v="91"/>
    <x v="0"/>
    <n v="80606.06"/>
    <n v="74909.19"/>
    <n v="64"/>
    <n v="69"/>
    <n v="30057.66"/>
    <n v="857.91"/>
    <x v="0"/>
    <x v="1"/>
  </r>
  <r>
    <s v="R00976"/>
    <x v="0"/>
    <n v="84"/>
    <x v="0"/>
    <n v="65462.58"/>
    <n v="69343.100000000006"/>
    <n v="24"/>
    <n v="27"/>
    <n v="6674.94"/>
    <n v="2106.2399999999998"/>
    <x v="1"/>
    <x v="1"/>
  </r>
  <r>
    <s v="R00215"/>
    <x v="5"/>
    <n v="9"/>
    <x v="0"/>
    <n v="10090.879999999999"/>
    <n v="8212.52"/>
    <n v="60"/>
    <n v="11"/>
    <n v="37963.1"/>
    <n v="0"/>
    <x v="1"/>
    <x v="1"/>
  </r>
  <r>
    <s v="R00590"/>
    <x v="2"/>
    <n v="4"/>
    <x v="0"/>
    <n v="4000"/>
    <n v="4236.01"/>
    <n v="63"/>
    <n v="30"/>
    <n v="47735.08"/>
    <n v="7495.45"/>
    <x v="1"/>
    <x v="1"/>
  </r>
  <r>
    <s v="R00163"/>
    <x v="1"/>
    <n v="30"/>
    <x v="0"/>
    <n v="35817.56"/>
    <n v="32202.66"/>
    <n v="42"/>
    <n v="7"/>
    <n v="61425.26"/>
    <n v="13628.6"/>
    <x v="0"/>
    <x v="1"/>
  </r>
  <r>
    <s v="R01297"/>
    <x v="5"/>
    <n v="118"/>
    <x v="0"/>
    <n v="113633.55"/>
    <n v="71119.520000000004"/>
    <n v="60"/>
    <n v="23"/>
    <n v="0"/>
    <n v="3065.56"/>
    <x v="0"/>
    <x v="1"/>
  </r>
  <r>
    <s v="R00018"/>
    <x v="4"/>
    <n v="42"/>
    <x v="0"/>
    <n v="33517.769999999997"/>
    <n v="34921.199999999997"/>
    <n v="39"/>
    <n v="29"/>
    <n v="9455.8799999999992"/>
    <n v="0"/>
    <x v="0"/>
    <x v="1"/>
  </r>
  <r>
    <s v="R00452"/>
    <x v="0"/>
    <n v="50"/>
    <x v="0"/>
    <n v="38242.86"/>
    <n v="28285.46"/>
    <n v="59"/>
    <n v="28"/>
    <n v="26484.15"/>
    <n v="0"/>
    <x v="0"/>
    <x v="1"/>
  </r>
  <r>
    <s v="R01017"/>
    <x v="4"/>
    <n v="8"/>
    <x v="0"/>
    <n v="14426.21"/>
    <n v="9105.4599999999991"/>
    <n v="30"/>
    <n v="10"/>
    <n v="71690.84"/>
    <n v="0"/>
    <x v="0"/>
    <x v="1"/>
  </r>
  <r>
    <s v="R00333"/>
    <x v="4"/>
    <n v="56"/>
    <x v="1"/>
    <n v="37311.230000000003"/>
    <n v="40154.879999999997"/>
    <n v="57"/>
    <n v="18"/>
    <n v="22265.200000000001"/>
    <n v="0"/>
    <x v="0"/>
    <x v="1"/>
  </r>
  <r>
    <s v="R01125"/>
    <x v="2"/>
    <n v="39"/>
    <x v="1"/>
    <n v="41971.040000000001"/>
    <n v="39761.57"/>
    <n v="55"/>
    <n v="48"/>
    <n v="34271.83"/>
    <n v="4924.04"/>
    <x v="1"/>
    <x v="1"/>
  </r>
  <r>
    <s v="R01327"/>
    <x v="5"/>
    <n v="77"/>
    <x v="1"/>
    <n v="77274.23"/>
    <n v="53166.26"/>
    <n v="42"/>
    <n v="25"/>
    <n v="6647.46"/>
    <n v="314.8"/>
    <x v="0"/>
    <x v="1"/>
  </r>
  <r>
    <s v="R01121"/>
    <x v="3"/>
    <n v="25"/>
    <x v="1"/>
    <n v="35983.33"/>
    <n v="27795.360000000001"/>
    <n v="38"/>
    <n v="44"/>
    <n v="17665.009999999998"/>
    <n v="5818.78"/>
    <x v="0"/>
    <x v="1"/>
  </r>
  <r>
    <s v="R00089"/>
    <x v="2"/>
    <n v="71"/>
    <x v="1"/>
    <n v="86490.98"/>
    <n v="65239.83"/>
    <n v="72"/>
    <n v="27"/>
    <n v="16836.22"/>
    <n v="10957.03"/>
    <x v="0"/>
    <x v="1"/>
  </r>
  <r>
    <s v="R00564"/>
    <x v="1"/>
    <n v="9"/>
    <x v="1"/>
    <n v="13089.43"/>
    <n v="8790.9"/>
    <n v="18"/>
    <n v="5"/>
    <n v="92689.03"/>
    <n v="3316.75"/>
    <x v="0"/>
    <x v="1"/>
  </r>
  <r>
    <s v="R00100"/>
    <x v="3"/>
    <n v="110"/>
    <x v="1"/>
    <n v="91714.38"/>
    <n v="63586.559999999998"/>
    <n v="24"/>
    <n v="5"/>
    <n v="0"/>
    <n v="1588.37"/>
    <x v="1"/>
    <x v="1"/>
  </r>
  <r>
    <s v="R00662"/>
    <x v="0"/>
    <n v="63"/>
    <x v="1"/>
    <n v="54556.23"/>
    <n v="31805.52"/>
    <n v="68"/>
    <n v="16"/>
    <n v="39736.69"/>
    <n v="9646.93"/>
    <x v="1"/>
    <x v="1"/>
  </r>
  <r>
    <s v="R00155"/>
    <x v="2"/>
    <n v="90"/>
    <x v="1"/>
    <n v="102476.54"/>
    <n v="77405.820000000007"/>
    <n v="21"/>
    <n v="16"/>
    <n v="37514.19"/>
    <n v="0"/>
    <x v="0"/>
    <x v="1"/>
  </r>
  <r>
    <s v="R00809"/>
    <x v="3"/>
    <n v="110"/>
    <x v="1"/>
    <n v="83700.100000000006"/>
    <n v="51318.12"/>
    <n v="34"/>
    <n v="0"/>
    <n v="22299.53"/>
    <n v="0"/>
    <x v="0"/>
    <x v="1"/>
  </r>
  <r>
    <s v="R00102"/>
    <x v="2"/>
    <n v="44"/>
    <x v="1"/>
    <n v="52796.08"/>
    <n v="32332.21"/>
    <n v="38"/>
    <n v="32"/>
    <n v="8075.3"/>
    <n v="2897.83"/>
    <x v="0"/>
    <x v="1"/>
  </r>
  <r>
    <s v="R01111"/>
    <x v="1"/>
    <n v="11"/>
    <x v="1"/>
    <n v="10864.71"/>
    <n v="10584.89"/>
    <n v="23"/>
    <n v="23"/>
    <n v="30508.12"/>
    <n v="4999.28"/>
    <x v="0"/>
    <x v="1"/>
  </r>
  <r>
    <s v="R01191"/>
    <x v="0"/>
    <n v="96"/>
    <x v="1"/>
    <n v="87795.34"/>
    <n v="61500.88"/>
    <n v="31"/>
    <n v="47"/>
    <n v="23715.1"/>
    <n v="0"/>
    <x v="0"/>
    <x v="1"/>
  </r>
  <r>
    <s v="R00655"/>
    <x v="4"/>
    <n v="27"/>
    <x v="1"/>
    <n v="7225.75"/>
    <n v="5344.67"/>
    <n v="23"/>
    <n v="38"/>
    <n v="42801.27"/>
    <n v="7741.29"/>
    <x v="0"/>
    <x v="1"/>
  </r>
  <r>
    <s v="R01493"/>
    <x v="5"/>
    <n v="88"/>
    <x v="1"/>
    <n v="82110.490000000005"/>
    <n v="66743.88"/>
    <n v="29"/>
    <n v="36"/>
    <n v="45994.91"/>
    <n v="633"/>
    <x v="0"/>
    <x v="1"/>
  </r>
  <r>
    <s v="R00735"/>
    <x v="1"/>
    <n v="91"/>
    <x v="1"/>
    <n v="84452.46"/>
    <n v="57084.4"/>
    <n v="54"/>
    <n v="19"/>
    <n v="31524.74"/>
    <n v="10845.67"/>
    <x v="0"/>
    <x v="1"/>
  </r>
  <r>
    <s v="R01031"/>
    <x v="3"/>
    <n v="96"/>
    <x v="1"/>
    <n v="87230.88"/>
    <n v="87321.19"/>
    <n v="69"/>
    <n v="27"/>
    <n v="20981.89"/>
    <n v="6505.82"/>
    <x v="0"/>
    <x v="1"/>
  </r>
  <r>
    <s v="R00651"/>
    <x v="0"/>
    <n v="63"/>
    <x v="1"/>
    <n v="64436.69"/>
    <n v="66008.91"/>
    <n v="66"/>
    <n v="0"/>
    <n v="41641.39"/>
    <n v="2624.69"/>
    <x v="0"/>
    <x v="1"/>
  </r>
  <r>
    <s v="R00650"/>
    <x v="3"/>
    <n v="115"/>
    <x v="1"/>
    <n v="83104.240000000005"/>
    <n v="52323.72"/>
    <n v="46"/>
    <n v="13"/>
    <n v="47024.65"/>
    <n v="7397.19"/>
    <x v="0"/>
    <x v="1"/>
  </r>
  <r>
    <s v="R01574"/>
    <x v="0"/>
    <n v="77"/>
    <x v="1"/>
    <n v="71273.72"/>
    <n v="75710.61"/>
    <n v="13"/>
    <n v="24"/>
    <n v="41737.339999999997"/>
    <n v="12183.39"/>
    <x v="0"/>
    <x v="1"/>
  </r>
  <r>
    <s v="R00467"/>
    <x v="0"/>
    <n v="50"/>
    <x v="1"/>
    <n v="64711.12"/>
    <n v="45126.62"/>
    <n v="37"/>
    <n v="16"/>
    <n v="86871.93"/>
    <n v="2377.1"/>
    <x v="1"/>
    <x v="1"/>
  </r>
  <r>
    <s v="R01489"/>
    <x v="2"/>
    <n v="83"/>
    <x v="1"/>
    <n v="74932.929999999993"/>
    <n v="51683.68"/>
    <n v="42"/>
    <n v="41"/>
    <n v="49754.9"/>
    <n v="0"/>
    <x v="1"/>
    <x v="1"/>
  </r>
  <r>
    <s v="R01129"/>
    <x v="5"/>
    <n v="42"/>
    <x v="1"/>
    <n v="46652.36"/>
    <n v="48409.18"/>
    <n v="46"/>
    <n v="14"/>
    <n v="61621.120000000003"/>
    <n v="3516.85"/>
    <x v="1"/>
    <x v="1"/>
  </r>
  <r>
    <s v="R00928"/>
    <x v="1"/>
    <n v="90"/>
    <x v="1"/>
    <n v="81128.100000000006"/>
    <n v="60742.080000000002"/>
    <n v="31"/>
    <n v="30"/>
    <n v="33657.82"/>
    <n v="5193.92"/>
    <x v="0"/>
    <x v="1"/>
  </r>
  <r>
    <s v="R00229"/>
    <x v="4"/>
    <n v="26"/>
    <x v="1"/>
    <n v="35296.1"/>
    <n v="37177.26"/>
    <n v="30"/>
    <n v="10"/>
    <n v="0"/>
    <n v="4521.3599999999997"/>
    <x v="0"/>
    <x v="1"/>
  </r>
  <r>
    <s v="R00792"/>
    <x v="0"/>
    <n v="109"/>
    <x v="1"/>
    <n v="87740.9"/>
    <n v="81669.3"/>
    <n v="49"/>
    <n v="0"/>
    <n v="32909.06"/>
    <n v="0"/>
    <x v="0"/>
    <x v="1"/>
  </r>
  <r>
    <s v="R01157"/>
    <x v="3"/>
    <n v="47"/>
    <x v="1"/>
    <n v="47878.84"/>
    <n v="45301.46"/>
    <n v="42"/>
    <n v="60"/>
    <n v="0"/>
    <n v="5498.28"/>
    <x v="0"/>
    <x v="1"/>
  </r>
  <r>
    <s v="R00934"/>
    <x v="3"/>
    <n v="84"/>
    <x v="1"/>
    <n v="74084.570000000007"/>
    <n v="56518.7"/>
    <n v="33"/>
    <n v="43"/>
    <n v="27991.98"/>
    <n v="1332.92"/>
    <x v="0"/>
    <x v="1"/>
  </r>
  <r>
    <s v="R01019"/>
    <x v="5"/>
    <n v="89"/>
    <x v="1"/>
    <n v="76361.039999999994"/>
    <n v="57332.4"/>
    <n v="40"/>
    <n v="10"/>
    <n v="33401.94"/>
    <n v="9763.99"/>
    <x v="0"/>
    <x v="1"/>
  </r>
  <r>
    <s v="R01523"/>
    <x v="2"/>
    <n v="34"/>
    <x v="1"/>
    <n v="14720.05"/>
    <n v="10612.13"/>
    <n v="39"/>
    <n v="6"/>
    <n v="30435.14"/>
    <n v="13.93"/>
    <x v="0"/>
    <x v="1"/>
  </r>
  <r>
    <s v="R00002"/>
    <x v="1"/>
    <n v="96"/>
    <x v="1"/>
    <n v="94136.2"/>
    <n v="93902.74"/>
    <n v="62"/>
    <n v="33"/>
    <n v="62612.22"/>
    <n v="0"/>
    <x v="0"/>
    <x v="1"/>
  </r>
  <r>
    <s v="R01146"/>
    <x v="2"/>
    <n v="102"/>
    <x v="1"/>
    <n v="71969.759999999995"/>
    <n v="77114.850000000006"/>
    <n v="17"/>
    <n v="33"/>
    <n v="22065.37"/>
    <n v="0"/>
    <x v="0"/>
    <x v="1"/>
  </r>
  <r>
    <s v="R00302"/>
    <x v="5"/>
    <n v="86"/>
    <x v="1"/>
    <n v="73055.61"/>
    <n v="60636.55"/>
    <n v="42"/>
    <n v="15"/>
    <n v="38218.800000000003"/>
    <n v="0"/>
    <x v="0"/>
    <x v="1"/>
  </r>
  <r>
    <s v="R00306"/>
    <x v="5"/>
    <n v="94"/>
    <x v="1"/>
    <n v="79914.710000000006"/>
    <n v="79913.19"/>
    <n v="10"/>
    <n v="54"/>
    <n v="19605.560000000001"/>
    <n v="9285.76"/>
    <x v="1"/>
    <x v="1"/>
  </r>
  <r>
    <s v="R00529"/>
    <x v="0"/>
    <n v="101"/>
    <x v="1"/>
    <n v="95908.11"/>
    <n v="90398.59"/>
    <n v="38"/>
    <n v="9"/>
    <n v="45513.4"/>
    <n v="4075.64"/>
    <x v="0"/>
    <x v="1"/>
  </r>
  <r>
    <s v="R01269"/>
    <x v="0"/>
    <n v="82"/>
    <x v="1"/>
    <n v="61269.22"/>
    <n v="53602.85"/>
    <n v="53"/>
    <n v="23"/>
    <n v="44829.99"/>
    <n v="6288.94"/>
    <x v="0"/>
    <x v="1"/>
  </r>
  <r>
    <s v="R00521"/>
    <x v="3"/>
    <n v="42"/>
    <x v="1"/>
    <n v="40368.199999999997"/>
    <n v="38151.949999999997"/>
    <n v="50"/>
    <n v="24"/>
    <n v="0"/>
    <n v="0"/>
    <x v="0"/>
    <x v="1"/>
  </r>
  <r>
    <s v="R01267"/>
    <x v="4"/>
    <n v="71"/>
    <x v="1"/>
    <n v="67749.47"/>
    <n v="61313.85"/>
    <n v="78"/>
    <n v="4"/>
    <n v="6775.91"/>
    <n v="0"/>
    <x v="0"/>
    <x v="1"/>
  </r>
  <r>
    <s v="R00555"/>
    <x v="5"/>
    <n v="57"/>
    <x v="1"/>
    <n v="42815.87"/>
    <n v="34138.75"/>
    <n v="41"/>
    <n v="24"/>
    <n v="50971.64"/>
    <n v="7637.01"/>
    <x v="0"/>
    <x v="1"/>
  </r>
  <r>
    <s v="R00140"/>
    <x v="0"/>
    <n v="33"/>
    <x v="1"/>
    <n v="37731.67"/>
    <n v="36548.35"/>
    <n v="28"/>
    <n v="14"/>
    <n v="0"/>
    <n v="3120.96"/>
    <x v="0"/>
    <x v="1"/>
  </r>
  <r>
    <s v="R00671"/>
    <x v="4"/>
    <n v="57"/>
    <x v="1"/>
    <n v="44069.58"/>
    <n v="26690"/>
    <n v="52"/>
    <n v="50"/>
    <n v="52417.8"/>
    <n v="8312.2800000000007"/>
    <x v="1"/>
    <x v="1"/>
  </r>
  <r>
    <s v="R00355"/>
    <x v="5"/>
    <n v="67"/>
    <x v="1"/>
    <n v="57103.040000000001"/>
    <n v="38556.1"/>
    <n v="30"/>
    <n v="40"/>
    <n v="74954.350000000006"/>
    <n v="0"/>
    <x v="0"/>
    <x v="1"/>
  </r>
  <r>
    <s v="R01128"/>
    <x v="4"/>
    <n v="79"/>
    <x v="1"/>
    <n v="53902.11"/>
    <n v="48602.49"/>
    <n v="28"/>
    <n v="14"/>
    <n v="37683.51"/>
    <n v="8515.52"/>
    <x v="0"/>
    <x v="1"/>
  </r>
  <r>
    <s v="R00570"/>
    <x v="4"/>
    <n v="111"/>
    <x v="1"/>
    <n v="97804.07"/>
    <n v="76472.649999999994"/>
    <n v="39"/>
    <n v="30"/>
    <n v="0"/>
    <n v="0"/>
    <x v="0"/>
    <x v="1"/>
  </r>
  <r>
    <s v="R01257"/>
    <x v="1"/>
    <n v="106"/>
    <x v="1"/>
    <n v="85038.42"/>
    <n v="54150.23"/>
    <n v="29"/>
    <n v="19"/>
    <n v="31168.400000000001"/>
    <n v="11480.55"/>
    <x v="0"/>
    <x v="1"/>
  </r>
  <r>
    <s v="R01212"/>
    <x v="1"/>
    <n v="4"/>
    <x v="1"/>
    <n v="21135.119999999999"/>
    <n v="15885.26"/>
    <n v="51"/>
    <n v="26"/>
    <n v="17680.43"/>
    <n v="1763.85"/>
    <x v="0"/>
    <x v="1"/>
  </r>
  <r>
    <s v="R01316"/>
    <x v="2"/>
    <n v="19"/>
    <x v="1"/>
    <n v="5831.81"/>
    <n v="4290.88"/>
    <n v="27"/>
    <n v="53"/>
    <n v="43993.19"/>
    <n v="3751.98"/>
    <x v="0"/>
    <x v="1"/>
  </r>
  <r>
    <s v="R01561"/>
    <x v="5"/>
    <n v="78"/>
    <x v="1"/>
    <n v="55054.81"/>
    <n v="44011.47"/>
    <n v="40"/>
    <n v="15"/>
    <n v="24546.44"/>
    <n v="8030.22"/>
    <x v="0"/>
    <x v="1"/>
  </r>
  <r>
    <s v="R00160"/>
    <x v="3"/>
    <n v="42"/>
    <x v="1"/>
    <n v="50394.89"/>
    <n v="42570.15"/>
    <n v="54"/>
    <n v="5"/>
    <n v="69575.649999999994"/>
    <n v="2141.09"/>
    <x v="1"/>
    <x v="1"/>
  </r>
  <r>
    <s v="R00380"/>
    <x v="1"/>
    <n v="34"/>
    <x v="1"/>
    <n v="37347.11"/>
    <n v="31120.48"/>
    <n v="31"/>
    <n v="0"/>
    <n v="31549.29"/>
    <n v="5064.5"/>
    <x v="0"/>
    <x v="1"/>
  </r>
  <r>
    <s v="R00136"/>
    <x v="0"/>
    <n v="61"/>
    <x v="1"/>
    <n v="67319.22"/>
    <n v="57236.69"/>
    <n v="34"/>
    <n v="25"/>
    <n v="1809.14"/>
    <n v="3751.03"/>
    <x v="0"/>
    <x v="1"/>
  </r>
  <r>
    <s v="R00115"/>
    <x v="3"/>
    <n v="112"/>
    <x v="1"/>
    <n v="89406.66"/>
    <n v="87927.92"/>
    <n v="39"/>
    <n v="24"/>
    <n v="28007.73"/>
    <n v="8944.33"/>
    <x v="0"/>
    <x v="1"/>
  </r>
  <r>
    <s v="R00630"/>
    <x v="1"/>
    <n v="81"/>
    <x v="1"/>
    <n v="69361.8"/>
    <n v="44593.65"/>
    <n v="54"/>
    <n v="39"/>
    <n v="35281.660000000003"/>
    <n v="0"/>
    <x v="1"/>
    <x v="1"/>
  </r>
  <r>
    <s v="R00588"/>
    <x v="4"/>
    <n v="106"/>
    <x v="1"/>
    <n v="80690.960000000006"/>
    <n v="86134.07"/>
    <n v="28"/>
    <n v="19"/>
    <n v="25457.65"/>
    <n v="3511.36"/>
    <x v="0"/>
    <x v="1"/>
  </r>
  <r>
    <s v="R01004"/>
    <x v="0"/>
    <n v="82"/>
    <x v="1"/>
    <n v="72000.98"/>
    <n v="48325.06"/>
    <n v="43"/>
    <n v="35"/>
    <n v="34462.44"/>
    <n v="1529.18"/>
    <x v="0"/>
    <x v="1"/>
  </r>
  <r>
    <s v="R00767"/>
    <x v="2"/>
    <n v="37"/>
    <x v="1"/>
    <n v="37519.89"/>
    <n v="35860.22"/>
    <n v="38"/>
    <n v="33"/>
    <n v="39091.39"/>
    <n v="5628.18"/>
    <x v="0"/>
    <x v="1"/>
  </r>
  <r>
    <s v="R00119"/>
    <x v="0"/>
    <n v="76"/>
    <x v="1"/>
    <n v="75780.5"/>
    <n v="45975.12"/>
    <n v="52"/>
    <n v="21"/>
    <n v="6205.46"/>
    <n v="2802.24"/>
    <x v="0"/>
    <x v="1"/>
  </r>
  <r>
    <s v="R01549"/>
    <x v="1"/>
    <n v="56"/>
    <x v="1"/>
    <n v="52277.07"/>
    <n v="38299.01"/>
    <n v="17"/>
    <n v="59"/>
    <n v="58567.13"/>
    <n v="5218.5"/>
    <x v="0"/>
    <x v="1"/>
  </r>
  <r>
    <s v="R01045"/>
    <x v="2"/>
    <n v="3"/>
    <x v="1"/>
    <n v="20605.97"/>
    <n v="14768.76"/>
    <n v="24"/>
    <n v="24"/>
    <n v="43740.69"/>
    <n v="0"/>
    <x v="0"/>
    <x v="1"/>
  </r>
  <r>
    <s v="R01221"/>
    <x v="2"/>
    <n v="24"/>
    <x v="1"/>
    <n v="11155.49"/>
    <n v="7301.79"/>
    <n v="37"/>
    <n v="38"/>
    <n v="0"/>
    <n v="6044.22"/>
    <x v="0"/>
    <x v="1"/>
  </r>
  <r>
    <s v="R01534"/>
    <x v="2"/>
    <n v="20"/>
    <x v="1"/>
    <n v="36439.53"/>
    <n v="32094.18"/>
    <n v="55"/>
    <n v="16"/>
    <n v="19350.169999999998"/>
    <n v="1484.75"/>
    <x v="0"/>
    <x v="1"/>
  </r>
  <r>
    <s v="R00171"/>
    <x v="4"/>
    <n v="57"/>
    <x v="1"/>
    <n v="59733.72"/>
    <n v="50774.21"/>
    <n v="43"/>
    <n v="11"/>
    <n v="7061.35"/>
    <n v="5711.1"/>
    <x v="0"/>
    <x v="1"/>
  </r>
  <r>
    <s v="R00878"/>
    <x v="2"/>
    <n v="70"/>
    <x v="1"/>
    <n v="57980.33"/>
    <n v="47466.71"/>
    <n v="43"/>
    <n v="57"/>
    <n v="40571.24"/>
    <n v="3946.29"/>
    <x v="0"/>
    <x v="1"/>
  </r>
  <r>
    <s v="R00870"/>
    <x v="3"/>
    <n v="40"/>
    <x v="1"/>
    <n v="30402.86"/>
    <n v="19907.099999999999"/>
    <n v="41"/>
    <n v="18"/>
    <n v="0"/>
    <n v="7487.12"/>
    <x v="0"/>
    <x v="1"/>
  </r>
  <r>
    <s v="R00257"/>
    <x v="1"/>
    <n v="38"/>
    <x v="1"/>
    <n v="37969.050000000003"/>
    <n v="25630.35"/>
    <n v="31"/>
    <n v="18"/>
    <n v="4400.0200000000004"/>
    <n v="3543.95"/>
    <x v="1"/>
    <x v="1"/>
  </r>
  <r>
    <s v="R00973"/>
    <x v="0"/>
    <n v="86"/>
    <x v="1"/>
    <n v="77368.7"/>
    <n v="82855.03"/>
    <n v="35"/>
    <n v="19"/>
    <n v="62902.12"/>
    <n v="0"/>
    <x v="0"/>
    <x v="1"/>
  </r>
  <r>
    <s v="R01502"/>
    <x v="0"/>
    <n v="76"/>
    <x v="1"/>
    <n v="63437.31"/>
    <n v="67303.38"/>
    <n v="40"/>
    <n v="17"/>
    <n v="21908.44"/>
    <n v="2675.55"/>
    <x v="0"/>
    <x v="1"/>
  </r>
  <r>
    <s v="R00829"/>
    <x v="0"/>
    <n v="60"/>
    <x v="1"/>
    <n v="50252.98"/>
    <n v="50716.3"/>
    <n v="35"/>
    <n v="56"/>
    <n v="24105.68"/>
    <n v="1577.84"/>
    <x v="1"/>
    <x v="1"/>
  </r>
  <r>
    <s v="R00779"/>
    <x v="1"/>
    <n v="34"/>
    <x v="1"/>
    <n v="48482.75"/>
    <n v="47400.29"/>
    <n v="10"/>
    <n v="21"/>
    <n v="33259.410000000003"/>
    <n v="2104.4499999999998"/>
    <x v="0"/>
    <x v="1"/>
  </r>
  <r>
    <s v="R01564"/>
    <x v="4"/>
    <n v="107"/>
    <x v="1"/>
    <n v="102072.77"/>
    <n v="67326.84"/>
    <n v="33"/>
    <n v="39"/>
    <n v="21693.31"/>
    <n v="4432.96"/>
    <x v="0"/>
    <x v="1"/>
  </r>
  <r>
    <s v="R00598"/>
    <x v="3"/>
    <n v="108"/>
    <x v="1"/>
    <n v="86089.25"/>
    <n v="62927.81"/>
    <n v="30"/>
    <n v="31"/>
    <n v="42667.42"/>
    <n v="3254.51"/>
    <x v="0"/>
    <x v="1"/>
  </r>
  <r>
    <s v="R01457"/>
    <x v="3"/>
    <n v="116"/>
    <x v="1"/>
    <n v="105356.8"/>
    <n v="93606.78"/>
    <n v="37"/>
    <n v="33"/>
    <n v="19729.169999999998"/>
    <n v="2682.7"/>
    <x v="0"/>
    <x v="1"/>
  </r>
  <r>
    <s v="R00009"/>
    <x v="3"/>
    <n v="30"/>
    <x v="1"/>
    <n v="18379.759999999998"/>
    <n v="12490.03"/>
    <n v="20"/>
    <n v="34"/>
    <n v="0"/>
    <n v="0"/>
    <x v="1"/>
    <x v="1"/>
  </r>
  <r>
    <s v="R00495"/>
    <x v="0"/>
    <n v="42"/>
    <x v="1"/>
    <n v="45745.01"/>
    <n v="36475.599999999999"/>
    <n v="50"/>
    <n v="13"/>
    <n v="0"/>
    <n v="11425.54"/>
    <x v="0"/>
    <x v="1"/>
  </r>
  <r>
    <s v="R01205"/>
    <x v="2"/>
    <n v="28"/>
    <x v="3"/>
    <n v="14323.41"/>
    <n v="10223.44"/>
    <n v="58"/>
    <n v="41"/>
    <n v="1576.11"/>
    <n v="7289.6"/>
    <x v="0"/>
    <x v="1"/>
  </r>
  <r>
    <s v="R01589"/>
    <x v="4"/>
    <n v="21"/>
    <x v="3"/>
    <n v="37726.199999999997"/>
    <n v="36759.160000000003"/>
    <n v="44"/>
    <n v="40"/>
    <n v="48149.79"/>
    <n v="9565.1"/>
    <x v="1"/>
    <x v="1"/>
  </r>
  <r>
    <s v="R00028"/>
    <x v="5"/>
    <n v="106"/>
    <x v="3"/>
    <n v="90428.51"/>
    <n v="62413.120000000003"/>
    <n v="43"/>
    <n v="20"/>
    <n v="13956.56"/>
    <n v="0"/>
    <x v="0"/>
    <x v="1"/>
  </r>
  <r>
    <s v="R01239"/>
    <x v="2"/>
    <n v="18"/>
    <x v="3"/>
    <n v="26120.9"/>
    <n v="27260.28"/>
    <n v="10"/>
    <n v="14"/>
    <n v="16069.87"/>
    <n v="9591.61"/>
    <x v="1"/>
    <x v="1"/>
  </r>
  <r>
    <s v="R01590"/>
    <x v="3"/>
    <n v="90"/>
    <x v="3"/>
    <n v="92054.96"/>
    <n v="75108.63"/>
    <n v="19"/>
    <n v="52"/>
    <n v="24683.43"/>
    <n v="7625.79"/>
    <x v="0"/>
    <x v="1"/>
  </r>
  <r>
    <s v="R01343"/>
    <x v="1"/>
    <n v="45"/>
    <x v="3"/>
    <n v="45129.82"/>
    <n v="46218.98"/>
    <n v="31"/>
    <n v="0"/>
    <n v="12463.4"/>
    <n v="0"/>
    <x v="0"/>
    <x v="1"/>
  </r>
  <r>
    <s v="R01339"/>
    <x v="4"/>
    <n v="30"/>
    <x v="3"/>
    <n v="29594.78"/>
    <n v="18026.27"/>
    <n v="63"/>
    <n v="24"/>
    <n v="26901.200000000001"/>
    <n v="0"/>
    <x v="0"/>
    <x v="1"/>
  </r>
  <r>
    <s v="R01304"/>
    <x v="5"/>
    <n v="50"/>
    <x v="3"/>
    <n v="51088.480000000003"/>
    <n v="49776.19"/>
    <n v="33"/>
    <n v="40"/>
    <n v="53153.23"/>
    <n v="4534.46"/>
    <x v="0"/>
    <x v="1"/>
  </r>
  <r>
    <s v="R01522"/>
    <x v="1"/>
    <n v="91"/>
    <x v="3"/>
    <n v="83485.97"/>
    <n v="70158.14"/>
    <n v="31"/>
    <n v="43"/>
    <n v="70750.289999999994"/>
    <n v="6103.27"/>
    <x v="0"/>
    <x v="1"/>
  </r>
  <r>
    <s v="R01538"/>
    <x v="5"/>
    <n v="44"/>
    <x v="3"/>
    <n v="48307.55"/>
    <n v="28938.02"/>
    <n v="37"/>
    <n v="0"/>
    <n v="39615.120000000003"/>
    <n v="0"/>
    <x v="0"/>
    <x v="1"/>
  </r>
  <r>
    <s v="R00034"/>
    <x v="0"/>
    <n v="81"/>
    <x v="3"/>
    <n v="63776.83"/>
    <n v="44868.21"/>
    <n v="15"/>
    <n v="29"/>
    <n v="79065.919999999998"/>
    <n v="6429.04"/>
    <x v="0"/>
    <x v="1"/>
  </r>
  <r>
    <s v="R00081"/>
    <x v="1"/>
    <n v="29"/>
    <x v="3"/>
    <n v="40358.660000000003"/>
    <n v="27897.919999999998"/>
    <n v="41"/>
    <n v="37"/>
    <n v="52901.84"/>
    <n v="2144.2600000000002"/>
    <x v="1"/>
    <x v="1"/>
  </r>
  <r>
    <s v="R01532"/>
    <x v="1"/>
    <n v="120"/>
    <x v="3"/>
    <n v="119733.63"/>
    <n v="78964.759999999995"/>
    <n v="50"/>
    <n v="19"/>
    <n v="66137.53"/>
    <n v="5888.19"/>
    <x v="0"/>
    <x v="1"/>
  </r>
  <r>
    <s v="R01552"/>
    <x v="1"/>
    <n v="92"/>
    <x v="3"/>
    <n v="89592.43"/>
    <n v="87068.51"/>
    <n v="18"/>
    <n v="33"/>
    <n v="25630.39"/>
    <n v="725.09"/>
    <x v="0"/>
    <x v="1"/>
  </r>
  <r>
    <s v="R01173"/>
    <x v="0"/>
    <n v="106"/>
    <x v="3"/>
    <n v="84781.79"/>
    <n v="91533.14"/>
    <n v="20"/>
    <n v="65"/>
    <n v="69792.94"/>
    <n v="1926.98"/>
    <x v="0"/>
    <x v="1"/>
  </r>
  <r>
    <s v="R01555"/>
    <x v="1"/>
    <n v="70"/>
    <x v="3"/>
    <n v="79873.23"/>
    <n v="72581.649999999994"/>
    <n v="24"/>
    <n v="34"/>
    <n v="31163.06"/>
    <n v="4209.5200000000004"/>
    <x v="0"/>
    <x v="1"/>
  </r>
  <r>
    <s v="R00088"/>
    <x v="2"/>
    <n v="69"/>
    <x v="3"/>
    <n v="62917.79"/>
    <n v="54765.31"/>
    <n v="24"/>
    <n v="24"/>
    <n v="53742.05"/>
    <n v="6416.6"/>
    <x v="0"/>
    <x v="1"/>
  </r>
  <r>
    <s v="R01318"/>
    <x v="0"/>
    <n v="59"/>
    <x v="3"/>
    <n v="53844.5"/>
    <n v="47439.06"/>
    <n v="53"/>
    <n v="24"/>
    <n v="8837.48"/>
    <n v="4224.4399999999996"/>
    <x v="0"/>
    <x v="1"/>
  </r>
  <r>
    <s v="R01467"/>
    <x v="4"/>
    <n v="84"/>
    <x v="3"/>
    <n v="62829.2"/>
    <n v="53030.85"/>
    <n v="53"/>
    <n v="32"/>
    <n v="99096.36"/>
    <n v="2484.5100000000002"/>
    <x v="0"/>
    <x v="1"/>
  </r>
  <r>
    <s v="R01295"/>
    <x v="0"/>
    <n v="27"/>
    <x v="3"/>
    <n v="26184.09"/>
    <n v="19079.59"/>
    <n v="10"/>
    <n v="48"/>
    <n v="53378.36"/>
    <n v="6796.59"/>
    <x v="0"/>
    <x v="1"/>
  </r>
  <r>
    <s v="R01520"/>
    <x v="4"/>
    <n v="9"/>
    <x v="3"/>
    <n v="21614.15"/>
    <n v="23185.54"/>
    <n v="50"/>
    <n v="27"/>
    <n v="42006.97"/>
    <n v="4618.28"/>
    <x v="0"/>
    <x v="1"/>
  </r>
  <r>
    <s v="R01247"/>
    <x v="2"/>
    <n v="104"/>
    <x v="3"/>
    <n v="81654.67"/>
    <n v="83446.17"/>
    <n v="42"/>
    <n v="22"/>
    <n v="25247.59"/>
    <n v="4417.43"/>
    <x v="0"/>
    <x v="1"/>
  </r>
  <r>
    <s v="R01424"/>
    <x v="5"/>
    <n v="4"/>
    <x v="3"/>
    <n v="4000"/>
    <n v="3114.91"/>
    <n v="39"/>
    <n v="44"/>
    <n v="23178.73"/>
    <n v="2877.97"/>
    <x v="1"/>
    <x v="1"/>
  </r>
  <r>
    <s v="R01461"/>
    <x v="0"/>
    <n v="106"/>
    <x v="3"/>
    <n v="81979.58"/>
    <n v="62467.35"/>
    <n v="33"/>
    <n v="16"/>
    <n v="11847.92"/>
    <n v="9308.2099999999991"/>
    <x v="1"/>
    <x v="1"/>
  </r>
  <r>
    <s v="R01176"/>
    <x v="4"/>
    <n v="52"/>
    <x v="3"/>
    <n v="46656"/>
    <n v="35501.01"/>
    <n v="47"/>
    <n v="7"/>
    <n v="51794.03"/>
    <n v="0"/>
    <x v="0"/>
    <x v="1"/>
  </r>
  <r>
    <s v="R00020"/>
    <x v="1"/>
    <n v="15"/>
    <x v="3"/>
    <n v="4000"/>
    <n v="3122.75"/>
    <n v="42"/>
    <n v="38"/>
    <n v="3142.75"/>
    <n v="9615.4699999999993"/>
    <x v="0"/>
    <x v="1"/>
  </r>
  <r>
    <s v="R01261"/>
    <x v="5"/>
    <n v="106"/>
    <x v="3"/>
    <n v="74602.080000000002"/>
    <n v="64182.91"/>
    <n v="43"/>
    <n v="56"/>
    <n v="50348.11"/>
    <n v="0"/>
    <x v="0"/>
    <x v="1"/>
  </r>
  <r>
    <s v="R01435"/>
    <x v="4"/>
    <n v="66"/>
    <x v="3"/>
    <n v="51099.17"/>
    <n v="53323.81"/>
    <n v="14"/>
    <n v="18"/>
    <n v="13559"/>
    <n v="1916.91"/>
    <x v="0"/>
    <x v="1"/>
  </r>
  <r>
    <s v="R01512"/>
    <x v="2"/>
    <n v="105"/>
    <x v="3"/>
    <n v="89624.94"/>
    <n v="66726.789999999994"/>
    <n v="46"/>
    <n v="0"/>
    <n v="14672.63"/>
    <n v="7641.37"/>
    <x v="1"/>
    <x v="1"/>
  </r>
  <r>
    <s v="R01438"/>
    <x v="1"/>
    <n v="25"/>
    <x v="3"/>
    <n v="17638.88"/>
    <n v="12582.4"/>
    <n v="35"/>
    <n v="79"/>
    <n v="16666.77"/>
    <n v="3989.24"/>
    <x v="0"/>
    <x v="1"/>
  </r>
  <r>
    <s v="R00029"/>
    <x v="3"/>
    <n v="45"/>
    <x v="3"/>
    <n v="59206.78"/>
    <n v="62614.080000000002"/>
    <n v="39"/>
    <n v="11"/>
    <n v="39914.14"/>
    <n v="2499.63"/>
    <x v="0"/>
    <x v="1"/>
  </r>
  <r>
    <s v="R01206"/>
    <x v="0"/>
    <n v="46"/>
    <x v="3"/>
    <n v="50670.49"/>
    <n v="31244.9"/>
    <n v="62"/>
    <n v="0"/>
    <n v="41297.22"/>
    <n v="4117.9799999999996"/>
    <x v="0"/>
    <x v="1"/>
  </r>
  <r>
    <s v="R00069"/>
    <x v="3"/>
    <n v="56"/>
    <x v="3"/>
    <n v="50566.66"/>
    <n v="36252.730000000003"/>
    <n v="50"/>
    <n v="61"/>
    <n v="52828.57"/>
    <n v="8472.39"/>
    <x v="0"/>
    <x v="1"/>
  </r>
  <r>
    <s v="R01495"/>
    <x v="1"/>
    <n v="98"/>
    <x v="3"/>
    <n v="71097.47"/>
    <n v="61092.27"/>
    <n v="29"/>
    <n v="22"/>
    <n v="17065.64"/>
    <n v="3893.58"/>
    <x v="0"/>
    <x v="1"/>
  </r>
  <r>
    <s v="R00944"/>
    <x v="0"/>
    <n v="89"/>
    <x v="3"/>
    <n v="74877.539999999994"/>
    <n v="72955.89"/>
    <n v="52"/>
    <n v="28"/>
    <n v="48968.59"/>
    <n v="3339.24"/>
    <x v="0"/>
    <x v="1"/>
  </r>
  <r>
    <s v="R00723"/>
    <x v="1"/>
    <n v="80"/>
    <x v="3"/>
    <n v="78258.58"/>
    <n v="74110.36"/>
    <n v="42"/>
    <n v="19"/>
    <n v="39704.269999999997"/>
    <n v="2456.56"/>
    <x v="1"/>
    <x v="1"/>
  </r>
  <r>
    <s v="R01066"/>
    <x v="2"/>
    <n v="12"/>
    <x v="3"/>
    <n v="7366.32"/>
    <n v="6280.06"/>
    <n v="19"/>
    <n v="38"/>
    <n v="48406.9"/>
    <n v="762.92"/>
    <x v="0"/>
    <x v="1"/>
  </r>
  <r>
    <s v="R00492"/>
    <x v="2"/>
    <n v="79"/>
    <x v="3"/>
    <n v="67189.740000000005"/>
    <n v="54569.86"/>
    <n v="31"/>
    <n v="18"/>
    <n v="0"/>
    <n v="3463.28"/>
    <x v="1"/>
    <x v="1"/>
  </r>
  <r>
    <s v="R00498"/>
    <x v="3"/>
    <n v="6"/>
    <x v="3"/>
    <n v="4000"/>
    <n v="3705.42"/>
    <n v="36"/>
    <n v="26"/>
    <n v="23604.28"/>
    <n v="9112.57"/>
    <x v="0"/>
    <x v="1"/>
  </r>
  <r>
    <s v="R00104"/>
    <x v="2"/>
    <n v="65"/>
    <x v="3"/>
    <n v="61828.68"/>
    <n v="51301.38"/>
    <n v="57"/>
    <n v="15"/>
    <n v="22493.13"/>
    <n v="3850.44"/>
    <x v="1"/>
    <x v="1"/>
  </r>
  <r>
    <s v="R00181"/>
    <x v="0"/>
    <n v="95"/>
    <x v="3"/>
    <n v="68869.490000000005"/>
    <n v="64492.37"/>
    <n v="29"/>
    <n v="75"/>
    <n v="27933.99"/>
    <n v="2924.53"/>
    <x v="0"/>
    <x v="1"/>
  </r>
  <r>
    <s v="R00740"/>
    <x v="5"/>
    <n v="65"/>
    <x v="3"/>
    <n v="51426.69"/>
    <n v="37467.74"/>
    <n v="55"/>
    <n v="50"/>
    <n v="75392.009999999995"/>
    <n v="3369.92"/>
    <x v="0"/>
    <x v="1"/>
  </r>
  <r>
    <s v="R00234"/>
    <x v="5"/>
    <n v="97"/>
    <x v="3"/>
    <n v="90762.08"/>
    <n v="54530.6"/>
    <n v="42"/>
    <n v="42"/>
    <n v="96706.59"/>
    <n v="0"/>
    <x v="1"/>
    <x v="1"/>
  </r>
  <r>
    <s v="R00882"/>
    <x v="4"/>
    <n v="53"/>
    <x v="3"/>
    <n v="50212.47"/>
    <n v="42672.639999999999"/>
    <n v="47"/>
    <n v="19"/>
    <n v="43820.21"/>
    <n v="0"/>
    <x v="0"/>
    <x v="1"/>
  </r>
  <r>
    <s v="R01101"/>
    <x v="1"/>
    <n v="49"/>
    <x v="3"/>
    <n v="43973.32"/>
    <n v="26667.35"/>
    <n v="57"/>
    <n v="37"/>
    <n v="27104.93"/>
    <n v="6577.29"/>
    <x v="0"/>
    <x v="1"/>
  </r>
  <r>
    <s v="R00893"/>
    <x v="1"/>
    <n v="89"/>
    <x v="3"/>
    <n v="66933.429999999993"/>
    <n v="54116.21"/>
    <n v="10"/>
    <n v="20"/>
    <n v="0"/>
    <n v="2195.3200000000002"/>
    <x v="0"/>
    <x v="1"/>
  </r>
  <r>
    <s v="R00233"/>
    <x v="5"/>
    <n v="52"/>
    <x v="3"/>
    <n v="63028.77"/>
    <n v="45478.92"/>
    <n v="52"/>
    <n v="46"/>
    <n v="51660.85"/>
    <n v="8355.86"/>
    <x v="0"/>
    <x v="1"/>
  </r>
  <r>
    <s v="R00995"/>
    <x v="5"/>
    <n v="101"/>
    <x v="3"/>
    <n v="78118.399999999994"/>
    <n v="48708.39"/>
    <n v="28"/>
    <n v="9"/>
    <n v="37285.33"/>
    <n v="4606.46"/>
    <x v="0"/>
    <x v="1"/>
  </r>
  <r>
    <s v="R01087"/>
    <x v="4"/>
    <n v="8"/>
    <x v="3"/>
    <n v="29010.39"/>
    <n v="21581.65"/>
    <n v="36"/>
    <n v="29"/>
    <n v="39994.589999999997"/>
    <n v="1280.44"/>
    <x v="0"/>
    <x v="1"/>
  </r>
  <r>
    <s v="R00676"/>
    <x v="4"/>
    <n v="76"/>
    <x v="3"/>
    <n v="70217.179999999993"/>
    <n v="64802.96"/>
    <n v="10"/>
    <n v="27"/>
    <n v="7859.11"/>
    <n v="0"/>
    <x v="0"/>
    <x v="1"/>
  </r>
  <r>
    <s v="R00367"/>
    <x v="2"/>
    <n v="97"/>
    <x v="3"/>
    <n v="64116.02"/>
    <n v="39136.410000000003"/>
    <n v="45"/>
    <n v="18"/>
    <n v="1600.46"/>
    <n v="8546.8799999999992"/>
    <x v="0"/>
    <x v="1"/>
  </r>
  <r>
    <s v="R00921"/>
    <x v="3"/>
    <n v="21"/>
    <x v="3"/>
    <n v="29458.52"/>
    <n v="30024.91"/>
    <n v="44"/>
    <n v="54"/>
    <n v="41791.839999999997"/>
    <n v="3310.08"/>
    <x v="0"/>
    <x v="1"/>
  </r>
  <r>
    <s v="R00698"/>
    <x v="2"/>
    <n v="14"/>
    <x v="3"/>
    <n v="5708.66"/>
    <n v="3361.51"/>
    <n v="54"/>
    <n v="23"/>
    <n v="43542.66"/>
    <n v="10126.120000000001"/>
    <x v="0"/>
    <x v="1"/>
  </r>
  <r>
    <s v="R00696"/>
    <x v="2"/>
    <n v="117"/>
    <x v="3"/>
    <n v="92583.84"/>
    <n v="56497.81"/>
    <n v="35"/>
    <n v="46"/>
    <n v="28207.53"/>
    <n v="6954.91"/>
    <x v="0"/>
    <x v="1"/>
  </r>
  <r>
    <s v="R00144"/>
    <x v="0"/>
    <n v="99"/>
    <x v="3"/>
    <n v="90217.3"/>
    <n v="61647.11"/>
    <n v="51"/>
    <n v="36"/>
    <n v="28410.560000000001"/>
    <n v="1685.16"/>
    <x v="0"/>
    <x v="1"/>
  </r>
  <r>
    <s v="R00966"/>
    <x v="3"/>
    <n v="18"/>
    <x v="3"/>
    <n v="24955.06"/>
    <n v="16688.8"/>
    <n v="23"/>
    <n v="32"/>
    <n v="37967.550000000003"/>
    <n v="3354.39"/>
    <x v="0"/>
    <x v="1"/>
  </r>
  <r>
    <s v="R00759"/>
    <x v="0"/>
    <n v="111"/>
    <x v="3"/>
    <n v="107074.13"/>
    <n v="78128.55"/>
    <n v="48"/>
    <n v="14"/>
    <n v="47785.46"/>
    <n v="0"/>
    <x v="0"/>
    <x v="1"/>
  </r>
  <r>
    <s v="R00946"/>
    <x v="4"/>
    <n v="23"/>
    <x v="3"/>
    <n v="29484.880000000001"/>
    <n v="25948.01"/>
    <n v="38"/>
    <n v="35"/>
    <n v="70455.539999999994"/>
    <n v="13397.82"/>
    <x v="0"/>
    <x v="1"/>
  </r>
  <r>
    <s v="R00132"/>
    <x v="0"/>
    <n v="42"/>
    <x v="3"/>
    <n v="50622.15"/>
    <n v="39127.81"/>
    <n v="47"/>
    <n v="0"/>
    <n v="45955.25"/>
    <n v="7413.5"/>
    <x v="0"/>
    <x v="1"/>
  </r>
  <r>
    <s v="R00983"/>
    <x v="4"/>
    <n v="74"/>
    <x v="3"/>
    <n v="51828.42"/>
    <n v="53902.17"/>
    <n v="12"/>
    <n v="13"/>
    <n v="21592.05"/>
    <n v="957.88"/>
    <x v="0"/>
    <x v="1"/>
  </r>
  <r>
    <s v="R00808"/>
    <x v="1"/>
    <n v="21"/>
    <x v="3"/>
    <n v="22488.85"/>
    <n v="16958.810000000001"/>
    <n v="28"/>
    <n v="52"/>
    <n v="37354"/>
    <n v="4462.4399999999996"/>
    <x v="0"/>
    <x v="1"/>
  </r>
  <r>
    <s v="R00426"/>
    <x v="5"/>
    <n v="13"/>
    <x v="3"/>
    <n v="34567.18"/>
    <n v="33989.370000000003"/>
    <n v="43"/>
    <n v="40"/>
    <n v="53721.98"/>
    <n v="15504.27"/>
    <x v="0"/>
    <x v="1"/>
  </r>
  <r>
    <s v="R00429"/>
    <x v="4"/>
    <n v="118"/>
    <x v="3"/>
    <n v="102255.14"/>
    <n v="59381.599999999999"/>
    <n v="10"/>
    <n v="35"/>
    <n v="33879.61"/>
    <n v="0"/>
    <x v="0"/>
    <x v="1"/>
  </r>
  <r>
    <s v="R00439"/>
    <x v="5"/>
    <n v="57"/>
    <x v="3"/>
    <n v="53837.01"/>
    <n v="45546.26"/>
    <n v="49"/>
    <n v="0"/>
    <n v="30908.39"/>
    <n v="9275.69"/>
    <x v="0"/>
    <x v="1"/>
  </r>
  <r>
    <s v="R00609"/>
    <x v="5"/>
    <n v="11"/>
    <x v="3"/>
    <n v="22279.14"/>
    <n v="16599.18"/>
    <n v="48"/>
    <n v="21"/>
    <n v="10216.02"/>
    <n v="6580.88"/>
    <x v="0"/>
    <x v="1"/>
  </r>
  <r>
    <s v="R00798"/>
    <x v="0"/>
    <n v="11"/>
    <x v="3"/>
    <n v="25806.36"/>
    <n v="18828.009999999998"/>
    <n v="51"/>
    <n v="22"/>
    <n v="30556.65"/>
    <n v="1409.08"/>
    <x v="0"/>
    <x v="1"/>
  </r>
  <r>
    <s v="R00996"/>
    <x v="3"/>
    <n v="9"/>
    <x v="3"/>
    <n v="30591.32"/>
    <n v="20073.48"/>
    <n v="46"/>
    <n v="29"/>
    <n v="3674.68"/>
    <n v="8320.5400000000009"/>
    <x v="0"/>
    <x v="1"/>
  </r>
  <r>
    <s v="R00418"/>
    <x v="1"/>
    <n v="99"/>
    <x v="3"/>
    <n v="96714.14"/>
    <n v="93391.43"/>
    <n v="33"/>
    <n v="49"/>
    <n v="22126.32"/>
    <n v="8464.8799999999992"/>
    <x v="0"/>
    <x v="1"/>
  </r>
  <r>
    <s v="R00212"/>
    <x v="3"/>
    <n v="80"/>
    <x v="3"/>
    <n v="81461.67"/>
    <n v="80003.66"/>
    <n v="41"/>
    <n v="28"/>
    <n v="37005.839999999997"/>
    <n v="0"/>
    <x v="0"/>
    <x v="1"/>
  </r>
  <r>
    <s v="R00373"/>
    <x v="3"/>
    <n v="114"/>
    <x v="3"/>
    <n v="107870.54"/>
    <n v="77050.36"/>
    <n v="38"/>
    <n v="43"/>
    <n v="41050.519999999997"/>
    <n v="6859.19"/>
    <x v="0"/>
    <x v="1"/>
  </r>
  <r>
    <s v="R00860"/>
    <x v="4"/>
    <n v="120"/>
    <x v="3"/>
    <n v="96172.479999999996"/>
    <n v="67884.08"/>
    <n v="56"/>
    <n v="50"/>
    <n v="0"/>
    <n v="0"/>
    <x v="1"/>
    <x v="1"/>
  </r>
  <r>
    <s v="R00320"/>
    <x v="3"/>
    <n v="11"/>
    <x v="3"/>
    <n v="9588.11"/>
    <n v="8072.58"/>
    <n v="13"/>
    <n v="39"/>
    <n v="79478.36"/>
    <n v="2975.59"/>
    <x v="0"/>
    <x v="1"/>
  </r>
  <r>
    <s v="R00095"/>
    <x v="2"/>
    <n v="119"/>
    <x v="3"/>
    <n v="77330.080000000002"/>
    <n v="67051.33"/>
    <n v="55"/>
    <n v="16"/>
    <n v="27989.42"/>
    <n v="0"/>
    <x v="0"/>
    <x v="1"/>
  </r>
  <r>
    <s v="R00687"/>
    <x v="4"/>
    <n v="84"/>
    <x v="4"/>
    <n v="85803.39"/>
    <n v="77108.42"/>
    <n v="43"/>
    <n v="19"/>
    <n v="38314.910000000003"/>
    <n v="5862.87"/>
    <x v="0"/>
    <x v="1"/>
  </r>
  <r>
    <s v="R00190"/>
    <x v="2"/>
    <n v="46"/>
    <x v="4"/>
    <n v="55038.29"/>
    <n v="35710.1"/>
    <n v="76"/>
    <n v="19"/>
    <n v="31708.21"/>
    <n v="0"/>
    <x v="0"/>
    <x v="1"/>
  </r>
  <r>
    <s v="R00991"/>
    <x v="4"/>
    <n v="70"/>
    <x v="4"/>
    <n v="78651.56"/>
    <n v="48915.87"/>
    <n v="56"/>
    <n v="22"/>
    <n v="25010.880000000001"/>
    <n v="3797.23"/>
    <x v="1"/>
    <x v="1"/>
  </r>
  <r>
    <s v="R01415"/>
    <x v="3"/>
    <n v="3"/>
    <x v="4"/>
    <n v="17696.04"/>
    <n v="13101.9"/>
    <n v="21"/>
    <n v="25"/>
    <n v="30853.74"/>
    <n v="11882.55"/>
    <x v="0"/>
    <x v="1"/>
  </r>
  <r>
    <s v="R00961"/>
    <x v="4"/>
    <n v="120"/>
    <x v="4"/>
    <n v="89081.99"/>
    <n v="54864.31"/>
    <n v="58"/>
    <n v="33"/>
    <n v="71640.289999999994"/>
    <n v="3129.32"/>
    <x v="0"/>
    <x v="1"/>
  </r>
  <r>
    <s v="R00954"/>
    <x v="3"/>
    <n v="80"/>
    <x v="4"/>
    <n v="83019.8"/>
    <n v="55029.42"/>
    <n v="48"/>
    <n v="34"/>
    <n v="34149.269999999997"/>
    <n v="3436.38"/>
    <x v="0"/>
    <x v="1"/>
  </r>
  <r>
    <s v="R00659"/>
    <x v="2"/>
    <n v="98"/>
    <x v="4"/>
    <n v="70077.039999999994"/>
    <n v="43130.36"/>
    <n v="36"/>
    <n v="12"/>
    <n v="11053.31"/>
    <n v="4988.33"/>
    <x v="0"/>
    <x v="1"/>
  </r>
  <r>
    <s v="R01418"/>
    <x v="0"/>
    <n v="51"/>
    <x v="4"/>
    <n v="57387.85"/>
    <n v="37854.080000000002"/>
    <n v="79"/>
    <n v="23"/>
    <n v="0"/>
    <n v="6829.04"/>
    <x v="0"/>
    <x v="1"/>
  </r>
  <r>
    <s v="R00040"/>
    <x v="2"/>
    <n v="108"/>
    <x v="4"/>
    <n v="82984.460000000006"/>
    <n v="49790.09"/>
    <n v="40"/>
    <n v="21"/>
    <n v="37679.82"/>
    <n v="0"/>
    <x v="0"/>
    <x v="1"/>
  </r>
  <r>
    <s v="R00982"/>
    <x v="0"/>
    <n v="106"/>
    <x v="4"/>
    <n v="80032.58"/>
    <n v="60071.23"/>
    <n v="18"/>
    <n v="45"/>
    <n v="42708.89"/>
    <n v="1393.2"/>
    <x v="0"/>
    <x v="1"/>
  </r>
  <r>
    <s v="R00673"/>
    <x v="4"/>
    <n v="74"/>
    <x v="4"/>
    <n v="59346.09"/>
    <n v="58646.6"/>
    <n v="53"/>
    <n v="1"/>
    <n v="54049.74"/>
    <n v="1773.3"/>
    <x v="0"/>
    <x v="1"/>
  </r>
  <r>
    <s v="R01420"/>
    <x v="0"/>
    <n v="13"/>
    <x v="4"/>
    <n v="4000"/>
    <n v="3016.82"/>
    <n v="40"/>
    <n v="25"/>
    <n v="18021.71"/>
    <n v="0"/>
    <x v="0"/>
    <x v="1"/>
  </r>
  <r>
    <s v="R00368"/>
    <x v="4"/>
    <n v="80"/>
    <x v="4"/>
    <n v="84210.47"/>
    <n v="83100.72"/>
    <n v="42"/>
    <n v="2"/>
    <n v="14969.15"/>
    <n v="11836.36"/>
    <x v="0"/>
    <x v="1"/>
  </r>
  <r>
    <s v="R01260"/>
    <x v="4"/>
    <n v="90"/>
    <x v="4"/>
    <n v="58649.51"/>
    <n v="57406.52"/>
    <n v="32"/>
    <n v="28"/>
    <n v="34131.17"/>
    <n v="0"/>
    <x v="0"/>
    <x v="1"/>
  </r>
  <r>
    <s v="R01351"/>
    <x v="1"/>
    <n v="5"/>
    <x v="4"/>
    <n v="12492.36"/>
    <n v="8021.46"/>
    <n v="23"/>
    <n v="24"/>
    <n v="23954.720000000001"/>
    <n v="2744.53"/>
    <x v="0"/>
    <x v="1"/>
  </r>
  <r>
    <s v="R00708"/>
    <x v="4"/>
    <n v="107"/>
    <x v="4"/>
    <n v="91256.51"/>
    <n v="64526.07"/>
    <n v="23"/>
    <n v="0"/>
    <n v="32359.040000000001"/>
    <n v="1572"/>
    <x v="0"/>
    <x v="1"/>
  </r>
  <r>
    <s v="R00059"/>
    <x v="4"/>
    <n v="41"/>
    <x v="4"/>
    <n v="39621.71"/>
    <n v="41937.85"/>
    <n v="28"/>
    <n v="10"/>
    <n v="28579.19"/>
    <n v="7655.99"/>
    <x v="0"/>
    <x v="1"/>
  </r>
  <r>
    <s v="R01336"/>
    <x v="3"/>
    <n v="102"/>
    <x v="4"/>
    <n v="86254.2"/>
    <n v="86683.72"/>
    <n v="43"/>
    <n v="45"/>
    <n v="15302.22"/>
    <n v="0"/>
    <x v="1"/>
    <x v="1"/>
  </r>
  <r>
    <s v="R00797"/>
    <x v="1"/>
    <n v="4"/>
    <x v="4"/>
    <n v="5565.72"/>
    <n v="3835.07"/>
    <n v="15"/>
    <n v="28"/>
    <n v="50929.87"/>
    <n v="3446.48"/>
    <x v="0"/>
    <x v="1"/>
  </r>
  <r>
    <s v="R00341"/>
    <x v="5"/>
    <n v="86"/>
    <x v="4"/>
    <n v="76540.789999999994"/>
    <n v="70599.47"/>
    <n v="43"/>
    <n v="20"/>
    <n v="48094.29"/>
    <n v="1853.53"/>
    <x v="0"/>
    <x v="1"/>
  </r>
  <r>
    <s v="R01344"/>
    <x v="2"/>
    <n v="5"/>
    <x v="4"/>
    <n v="20972.09"/>
    <n v="20572.490000000002"/>
    <n v="36"/>
    <n v="49"/>
    <n v="64505.39"/>
    <n v="2449.56"/>
    <x v="0"/>
    <x v="1"/>
  </r>
  <r>
    <s v="R00785"/>
    <x v="1"/>
    <n v="17"/>
    <x v="4"/>
    <n v="11058.46"/>
    <n v="11273.92"/>
    <n v="20"/>
    <n v="32"/>
    <n v="16066.06"/>
    <n v="11087.28"/>
    <x v="0"/>
    <x v="1"/>
  </r>
  <r>
    <s v="R00784"/>
    <x v="2"/>
    <n v="12"/>
    <x v="4"/>
    <n v="5176.34"/>
    <n v="5265.64"/>
    <n v="29"/>
    <n v="22"/>
    <n v="31386.36"/>
    <n v="3651.89"/>
    <x v="0"/>
    <x v="1"/>
  </r>
  <r>
    <s v="R00849"/>
    <x v="0"/>
    <n v="116"/>
    <x v="4"/>
    <n v="89955.51"/>
    <n v="90699.7"/>
    <n v="56"/>
    <n v="40"/>
    <n v="38094.49"/>
    <n v="4210.84"/>
    <x v="0"/>
    <x v="1"/>
  </r>
  <r>
    <s v="R00783"/>
    <x v="2"/>
    <n v="70"/>
    <x v="4"/>
    <n v="55306.76"/>
    <n v="35870.14"/>
    <n v="31"/>
    <n v="5"/>
    <n v="7346.17"/>
    <n v="4874.75"/>
    <x v="1"/>
    <x v="1"/>
  </r>
  <r>
    <s v="R01580"/>
    <x v="4"/>
    <n v="112"/>
    <x v="4"/>
    <n v="107779.07"/>
    <n v="84856.86"/>
    <n v="44"/>
    <n v="42"/>
    <n v="0"/>
    <n v="0"/>
    <x v="0"/>
    <x v="1"/>
  </r>
  <r>
    <s v="R00866"/>
    <x v="1"/>
    <n v="54"/>
    <x v="4"/>
    <n v="44467.56"/>
    <n v="33772.550000000003"/>
    <n v="15"/>
    <n v="84"/>
    <n v="31320.39"/>
    <n v="6456.78"/>
    <x v="0"/>
    <x v="1"/>
  </r>
  <r>
    <s v="R00777"/>
    <x v="5"/>
    <n v="12"/>
    <x v="4"/>
    <n v="20680.46"/>
    <n v="14454.2"/>
    <n v="38"/>
    <n v="23"/>
    <n v="32293.66"/>
    <n v="0"/>
    <x v="0"/>
    <x v="1"/>
  </r>
  <r>
    <s v="R00868"/>
    <x v="3"/>
    <n v="106"/>
    <x v="4"/>
    <n v="92696.04"/>
    <n v="66710.679999999993"/>
    <n v="50"/>
    <n v="28"/>
    <n v="51837.26"/>
    <n v="0"/>
    <x v="0"/>
    <x v="1"/>
  </r>
  <r>
    <s v="R00167"/>
    <x v="2"/>
    <n v="101"/>
    <x v="4"/>
    <n v="80812"/>
    <n v="54739.57"/>
    <n v="53"/>
    <n v="10"/>
    <n v="0"/>
    <n v="0"/>
    <x v="0"/>
    <x v="1"/>
  </r>
  <r>
    <s v="R01363"/>
    <x v="5"/>
    <n v="120"/>
    <x v="4"/>
    <n v="108776.72"/>
    <n v="85589.16"/>
    <n v="34"/>
    <n v="30"/>
    <n v="53623.07"/>
    <n v="5514.76"/>
    <x v="0"/>
    <x v="1"/>
  </r>
  <r>
    <s v="R00873"/>
    <x v="4"/>
    <n v="38"/>
    <x v="4"/>
    <n v="39348.879999999997"/>
    <n v="32394.77"/>
    <n v="26"/>
    <n v="27"/>
    <n v="29714.03"/>
    <n v="2395.63"/>
    <x v="0"/>
    <x v="1"/>
  </r>
  <r>
    <s v="R00734"/>
    <x v="3"/>
    <n v="38"/>
    <x v="4"/>
    <n v="40700.54"/>
    <n v="37698.54"/>
    <n v="10"/>
    <n v="39"/>
    <n v="33697.43"/>
    <n v="12357.09"/>
    <x v="1"/>
    <x v="1"/>
  </r>
  <r>
    <s v="R00714"/>
    <x v="3"/>
    <n v="61"/>
    <x v="4"/>
    <n v="55466.2"/>
    <n v="56608.35"/>
    <n v="28"/>
    <n v="31"/>
    <n v="38436.620000000003"/>
    <n v="4301.16"/>
    <x v="0"/>
    <x v="1"/>
  </r>
  <r>
    <s v="R00154"/>
    <x v="5"/>
    <n v="110"/>
    <x v="4"/>
    <n v="96338.27"/>
    <n v="64508.89"/>
    <n v="51"/>
    <n v="37"/>
    <n v="20371.16"/>
    <n v="641.72"/>
    <x v="0"/>
    <x v="1"/>
  </r>
  <r>
    <s v="R00916"/>
    <x v="2"/>
    <n v="31"/>
    <x v="4"/>
    <n v="40066.54"/>
    <n v="26236.29"/>
    <n v="36"/>
    <n v="8"/>
    <n v="52606.720000000001"/>
    <n v="2052.2399999999998"/>
    <x v="0"/>
    <x v="1"/>
  </r>
  <r>
    <s v="R00273"/>
    <x v="1"/>
    <n v="50"/>
    <x v="4"/>
    <n v="29184.49"/>
    <n v="21437.3"/>
    <n v="50"/>
    <n v="28"/>
    <n v="20306.13"/>
    <n v="4990.96"/>
    <x v="0"/>
    <x v="1"/>
  </r>
  <r>
    <s v="R01271"/>
    <x v="0"/>
    <n v="35"/>
    <x v="4"/>
    <n v="22436.51"/>
    <n v="21260.32"/>
    <n v="24"/>
    <n v="42"/>
    <n v="69869.350000000006"/>
    <n v="10736.59"/>
    <x v="0"/>
    <x v="1"/>
  </r>
  <r>
    <s v="R00620"/>
    <x v="4"/>
    <n v="11"/>
    <x v="4"/>
    <n v="19288.97"/>
    <n v="19400.86"/>
    <n v="10"/>
    <n v="9"/>
    <n v="35863.230000000003"/>
    <n v="0"/>
    <x v="0"/>
    <x v="1"/>
  </r>
  <r>
    <s v="R00639"/>
    <x v="1"/>
    <n v="66"/>
    <x v="4"/>
    <n v="42133.54"/>
    <n v="36313.269999999997"/>
    <n v="35"/>
    <n v="18"/>
    <n v="26192.43"/>
    <n v="5785.19"/>
    <x v="1"/>
    <x v="1"/>
  </r>
  <r>
    <s v="R01179"/>
    <x v="5"/>
    <n v="81"/>
    <x v="4"/>
    <n v="60254.559999999998"/>
    <n v="47260.77"/>
    <n v="18"/>
    <n v="35"/>
    <n v="56184.67"/>
    <n v="2621.96"/>
    <x v="1"/>
    <x v="1"/>
  </r>
  <r>
    <s v="R01178"/>
    <x v="3"/>
    <n v="109"/>
    <x v="4"/>
    <n v="90724.61"/>
    <n v="77776.429999999993"/>
    <n v="52"/>
    <n v="38"/>
    <n v="20509"/>
    <n v="3765.33"/>
    <x v="1"/>
    <x v="1"/>
  </r>
  <r>
    <s v="R00224"/>
    <x v="2"/>
    <n v="43"/>
    <x v="4"/>
    <n v="57734.57"/>
    <n v="49356.74"/>
    <n v="50"/>
    <n v="27"/>
    <n v="50945.86"/>
    <n v="8986.84"/>
    <x v="0"/>
    <x v="1"/>
  </r>
  <r>
    <s v="R00226"/>
    <x v="5"/>
    <n v="42"/>
    <x v="4"/>
    <n v="26962.880000000001"/>
    <n v="19161.03"/>
    <n v="28"/>
    <n v="31"/>
    <n v="54598.23"/>
    <n v="0"/>
    <x v="0"/>
    <x v="1"/>
  </r>
  <r>
    <s v="R01104"/>
    <x v="4"/>
    <n v="30"/>
    <x v="4"/>
    <n v="36293.06"/>
    <n v="21423.71"/>
    <n v="10"/>
    <n v="44"/>
    <n v="48532.54"/>
    <n v="1429.95"/>
    <x v="0"/>
    <x v="1"/>
  </r>
  <r>
    <s v="R00550"/>
    <x v="2"/>
    <n v="115"/>
    <x v="4"/>
    <n v="91832.26"/>
    <n v="56435.1"/>
    <n v="22"/>
    <n v="28"/>
    <n v="40241.85"/>
    <n v="0"/>
    <x v="0"/>
    <x v="1"/>
  </r>
  <r>
    <s v="R00012"/>
    <x v="0"/>
    <n v="108"/>
    <x v="4"/>
    <n v="79928.97"/>
    <n v="61698.28"/>
    <n v="33"/>
    <n v="22"/>
    <n v="46492.72"/>
    <n v="2038.94"/>
    <x v="0"/>
    <x v="1"/>
  </r>
  <r>
    <s v="R00404"/>
    <x v="3"/>
    <n v="69"/>
    <x v="4"/>
    <n v="46396.12"/>
    <n v="47509.68"/>
    <n v="47"/>
    <n v="13"/>
    <n v="7613.71"/>
    <n v="5736.96"/>
    <x v="0"/>
    <x v="1"/>
  </r>
  <r>
    <s v="R01050"/>
    <x v="5"/>
    <n v="56"/>
    <x v="4"/>
    <n v="82059.62"/>
    <n v="70562.95"/>
    <n v="74"/>
    <n v="53"/>
    <n v="62603.67"/>
    <n v="0"/>
    <x v="0"/>
    <x v="1"/>
  </r>
  <r>
    <s v="R01181"/>
    <x v="3"/>
    <n v="48"/>
    <x v="4"/>
    <n v="43471.56"/>
    <n v="25305.360000000001"/>
    <n v="10"/>
    <n v="17"/>
    <n v="56316.68"/>
    <n v="0"/>
    <x v="0"/>
    <x v="1"/>
  </r>
  <r>
    <s v="R00245"/>
    <x v="5"/>
    <n v="16"/>
    <x v="4"/>
    <n v="15391.05"/>
    <n v="15054.35"/>
    <n v="61"/>
    <n v="13"/>
    <n v="53611.08"/>
    <n v="6091.19"/>
    <x v="1"/>
    <x v="1"/>
  </r>
  <r>
    <s v="R00481"/>
    <x v="1"/>
    <n v="18"/>
    <x v="4"/>
    <n v="14958.16"/>
    <n v="13566.5"/>
    <n v="24"/>
    <n v="20"/>
    <n v="53650.86"/>
    <n v="9066.09"/>
    <x v="0"/>
    <x v="1"/>
  </r>
  <r>
    <s v="R00227"/>
    <x v="1"/>
    <n v="28"/>
    <x v="4"/>
    <n v="37030.21"/>
    <n v="39226.699999999997"/>
    <n v="56"/>
    <n v="14"/>
    <n v="9649.76"/>
    <n v="2847.49"/>
    <x v="0"/>
    <x v="1"/>
  </r>
  <r>
    <s v="R01209"/>
    <x v="2"/>
    <n v="22"/>
    <x v="4"/>
    <n v="36523.440000000002"/>
    <n v="35948.67"/>
    <n v="58"/>
    <n v="53"/>
    <n v="52337.34"/>
    <n v="5454.96"/>
    <x v="1"/>
    <x v="1"/>
  </r>
  <r>
    <s v="R00243"/>
    <x v="1"/>
    <n v="72"/>
    <x v="4"/>
    <n v="66448.149999999994"/>
    <n v="43767.199999999997"/>
    <n v="23"/>
    <n v="8"/>
    <n v="26462.22"/>
    <n v="13662.2"/>
    <x v="0"/>
    <x v="1"/>
  </r>
  <r>
    <s v="R00533"/>
    <x v="2"/>
    <n v="89"/>
    <x v="4"/>
    <n v="73203.53"/>
    <n v="53056.99"/>
    <n v="59"/>
    <n v="0"/>
    <n v="47330.01"/>
    <n v="4607.09"/>
    <x v="0"/>
    <x v="1"/>
  </r>
  <r>
    <s v="R01084"/>
    <x v="3"/>
    <n v="103"/>
    <x v="4"/>
    <n v="88169.53"/>
    <n v="89418.32"/>
    <n v="13"/>
    <n v="0"/>
    <n v="54407.45"/>
    <n v="4354.62"/>
    <x v="0"/>
    <x v="1"/>
  </r>
  <r>
    <s v="R01116"/>
    <x v="4"/>
    <n v="44"/>
    <x v="4"/>
    <n v="51337.19"/>
    <n v="47477.63"/>
    <n v="35"/>
    <n v="32"/>
    <n v="59855.4"/>
    <n v="6173.94"/>
    <x v="0"/>
    <x v="1"/>
  </r>
  <r>
    <s v="R00520"/>
    <x v="4"/>
    <n v="9"/>
    <x v="4"/>
    <n v="5258.59"/>
    <n v="5508.33"/>
    <n v="56"/>
    <n v="73"/>
    <n v="78356.78"/>
    <n v="11555.63"/>
    <x v="0"/>
    <x v="1"/>
  </r>
  <r>
    <s v="R00299"/>
    <x v="0"/>
    <n v="112"/>
    <x v="4"/>
    <n v="87823.74"/>
    <n v="89903.25"/>
    <n v="57"/>
    <n v="40"/>
    <n v="66515.27"/>
    <n v="12502.78"/>
    <x v="0"/>
    <x v="1"/>
  </r>
  <r>
    <s v="R00087"/>
    <x v="3"/>
    <n v="99"/>
    <x v="4"/>
    <n v="86569.74"/>
    <n v="60848.62"/>
    <n v="12"/>
    <n v="31"/>
    <n v="49935.47"/>
    <n v="0"/>
    <x v="0"/>
    <x v="1"/>
  </r>
  <r>
    <s v="R00419"/>
    <x v="2"/>
    <n v="50"/>
    <x v="4"/>
    <n v="57261.53"/>
    <n v="57786.54"/>
    <n v="10"/>
    <n v="41"/>
    <n v="31575.21"/>
    <n v="842.24"/>
    <x v="0"/>
    <x v="1"/>
  </r>
  <r>
    <s v="R01491"/>
    <x v="3"/>
    <n v="27"/>
    <x v="4"/>
    <n v="23470.19"/>
    <n v="24444.51"/>
    <n v="13"/>
    <n v="56"/>
    <n v="25169.5"/>
    <n v="2584.4499999999998"/>
    <x v="1"/>
    <x v="1"/>
  </r>
  <r>
    <s v="R00107"/>
    <x v="3"/>
    <n v="100"/>
    <x v="4"/>
    <n v="90541.119999999995"/>
    <n v="78001.279999999999"/>
    <n v="28"/>
    <n v="45"/>
    <n v="6098.75"/>
    <n v="4719.66"/>
    <x v="0"/>
    <x v="1"/>
  </r>
  <r>
    <s v="R00512"/>
    <x v="4"/>
    <n v="108"/>
    <x v="4"/>
    <n v="96391.360000000001"/>
    <n v="89820.17"/>
    <n v="54"/>
    <n v="20"/>
    <n v="15904.5"/>
    <n v="7121.14"/>
    <x v="0"/>
    <x v="1"/>
  </r>
  <r>
    <s v="R01001"/>
    <x v="5"/>
    <n v="12"/>
    <x v="4"/>
    <n v="26233.97"/>
    <n v="22338.6"/>
    <n v="64"/>
    <n v="57"/>
    <n v="22827.27"/>
    <n v="2961.36"/>
    <x v="0"/>
    <x v="1"/>
  </r>
  <r>
    <s v="R00290"/>
    <x v="1"/>
    <n v="119"/>
    <x v="4"/>
    <n v="102960.78"/>
    <n v="65453.18"/>
    <n v="41"/>
    <n v="0"/>
    <n v="18435.14"/>
    <n v="4708.12"/>
    <x v="0"/>
    <x v="1"/>
  </r>
  <r>
    <s v="R01521"/>
    <x v="3"/>
    <n v="32"/>
    <x v="4"/>
    <n v="45791.92"/>
    <n v="38019.29"/>
    <n v="43"/>
    <n v="86"/>
    <n v="34811.89"/>
    <n v="7397.51"/>
    <x v="1"/>
    <x v="1"/>
  </r>
  <r>
    <s v="R01143"/>
    <x v="3"/>
    <n v="115"/>
    <x v="4"/>
    <n v="110473.47"/>
    <n v="71007.539999999994"/>
    <n v="33"/>
    <n v="59"/>
    <n v="25100.98"/>
    <n v="4225.8100000000004"/>
    <x v="0"/>
    <x v="1"/>
  </r>
  <r>
    <s v="R00606"/>
    <x v="2"/>
    <n v="62"/>
    <x v="4"/>
    <n v="45505.84"/>
    <n v="47760.93"/>
    <n v="45"/>
    <n v="22"/>
    <n v="32772.080000000002"/>
    <n v="0"/>
    <x v="0"/>
    <x v="1"/>
  </r>
  <r>
    <s v="R00266"/>
    <x v="0"/>
    <n v="83"/>
    <x v="4"/>
    <n v="56906.82"/>
    <n v="58214.53"/>
    <n v="60"/>
    <n v="44"/>
    <n v="34627.279999999999"/>
    <n v="2077.54"/>
    <x v="0"/>
    <x v="1"/>
  </r>
  <r>
    <s v="R00220"/>
    <x v="2"/>
    <n v="91"/>
    <x v="4"/>
    <n v="67768.070000000007"/>
    <n v="58564.85"/>
    <n v="39"/>
    <n v="44"/>
    <n v="18882.63"/>
    <n v="5802.99"/>
    <x v="0"/>
    <x v="1"/>
  </r>
  <r>
    <s v="R01141"/>
    <x v="3"/>
    <n v="12"/>
    <x v="4"/>
    <n v="4000"/>
    <n v="4256.6400000000003"/>
    <n v="56"/>
    <n v="31"/>
    <n v="13709.2"/>
    <n v="2073.41"/>
    <x v="0"/>
    <x v="1"/>
  </r>
  <r>
    <s v="R00301"/>
    <x v="0"/>
    <n v="55"/>
    <x v="4"/>
    <n v="43898.78"/>
    <n v="30448.959999999999"/>
    <n v="23"/>
    <n v="53"/>
    <n v="45361.73"/>
    <n v="6834.79"/>
    <x v="0"/>
    <x v="1"/>
  </r>
  <r>
    <s v="R00572"/>
    <x v="2"/>
    <n v="108"/>
    <x v="4"/>
    <n v="86009.07"/>
    <n v="86083.71"/>
    <n v="35"/>
    <n v="46"/>
    <n v="36305.89"/>
    <n v="7874.14"/>
    <x v="0"/>
    <x v="1"/>
  </r>
  <r>
    <s v="R01530"/>
    <x v="1"/>
    <n v="46"/>
    <x v="4"/>
    <n v="23981.74"/>
    <n v="19882.14"/>
    <n v="35"/>
    <n v="48"/>
    <n v="16628.669999999998"/>
    <n v="6680.41"/>
    <x v="0"/>
    <x v="1"/>
  </r>
  <r>
    <s v="R00214"/>
    <x v="3"/>
    <n v="59"/>
    <x v="4"/>
    <n v="56984.63"/>
    <n v="34614.620000000003"/>
    <n v="31"/>
    <n v="13"/>
    <n v="43074.5"/>
    <n v="8068.33"/>
    <x v="0"/>
    <x v="1"/>
  </r>
  <r>
    <s v="R00388"/>
    <x v="0"/>
    <n v="67"/>
    <x v="4"/>
    <n v="52672.91"/>
    <n v="47128.4"/>
    <n v="21"/>
    <n v="40"/>
    <n v="10695.3"/>
    <n v="2540.0700000000002"/>
    <x v="0"/>
    <x v="1"/>
  </r>
  <r>
    <s v="R00769"/>
    <x v="3"/>
    <n v="19"/>
    <x v="5"/>
    <n v="28376.55"/>
    <n v="16862.05"/>
    <n v="52"/>
    <n v="0"/>
    <n v="89368.6"/>
    <n v="5780.85"/>
    <x v="0"/>
    <x v="1"/>
  </r>
  <r>
    <s v="R00501"/>
    <x v="4"/>
    <n v="48"/>
    <x v="5"/>
    <n v="38776.22"/>
    <n v="34981.269999999997"/>
    <n v="10"/>
    <n v="47"/>
    <n v="92101.81"/>
    <n v="3506.06"/>
    <x v="0"/>
    <x v="1"/>
  </r>
  <r>
    <s v="R00239"/>
    <x v="2"/>
    <n v="9"/>
    <x v="5"/>
    <n v="18796.34"/>
    <n v="18715.689999999999"/>
    <n v="47"/>
    <n v="5"/>
    <n v="0"/>
    <n v="7409.83"/>
    <x v="0"/>
    <x v="1"/>
  </r>
  <r>
    <s v="R00617"/>
    <x v="3"/>
    <n v="75"/>
    <x v="5"/>
    <n v="70952.740000000005"/>
    <n v="49250.95"/>
    <n v="22"/>
    <n v="19"/>
    <n v="2686.24"/>
    <n v="8708.49"/>
    <x v="0"/>
    <x v="1"/>
  </r>
  <r>
    <s v="R00780"/>
    <x v="5"/>
    <n v="67"/>
    <x v="5"/>
    <n v="62036.27"/>
    <n v="44671.93"/>
    <n v="35"/>
    <n v="0"/>
    <n v="0"/>
    <n v="2725.14"/>
    <x v="0"/>
    <x v="1"/>
  </r>
  <r>
    <s v="R00465"/>
    <x v="5"/>
    <n v="72"/>
    <x v="5"/>
    <n v="51935.82"/>
    <n v="32310.92"/>
    <n v="73"/>
    <n v="38"/>
    <n v="66900.22"/>
    <n v="0"/>
    <x v="0"/>
    <x v="1"/>
  </r>
  <r>
    <s v="R00451"/>
    <x v="3"/>
    <n v="25"/>
    <x v="5"/>
    <n v="15560.08"/>
    <n v="11110.56"/>
    <n v="28"/>
    <n v="41"/>
    <n v="4636"/>
    <n v="3109.3"/>
    <x v="0"/>
    <x v="1"/>
  </r>
  <r>
    <s v="R00795"/>
    <x v="4"/>
    <n v="93"/>
    <x v="5"/>
    <n v="74036.460000000006"/>
    <n v="77190.570000000007"/>
    <n v="60"/>
    <n v="39"/>
    <n v="43351.33"/>
    <n v="4354.28"/>
    <x v="0"/>
    <x v="1"/>
  </r>
  <r>
    <s v="R01333"/>
    <x v="2"/>
    <n v="23"/>
    <x v="5"/>
    <n v="37079.5"/>
    <n v="38841.129999999997"/>
    <n v="28"/>
    <n v="0"/>
    <n v="22116.93"/>
    <n v="2364.84"/>
    <x v="0"/>
    <x v="1"/>
  </r>
  <r>
    <s v="R00806"/>
    <x v="1"/>
    <n v="10"/>
    <x v="5"/>
    <n v="20147.62"/>
    <n v="17760.04"/>
    <n v="14"/>
    <n v="56"/>
    <n v="26276.37"/>
    <n v="1855.48"/>
    <x v="0"/>
    <x v="1"/>
  </r>
  <r>
    <s v="R01331"/>
    <x v="2"/>
    <n v="72"/>
    <x v="5"/>
    <n v="62250.75"/>
    <n v="51838.97"/>
    <n v="77"/>
    <n v="12"/>
    <n v="26478.33"/>
    <n v="0"/>
    <x v="0"/>
    <x v="1"/>
  </r>
  <r>
    <s v="R00423"/>
    <x v="3"/>
    <n v="106"/>
    <x v="5"/>
    <n v="97045.93"/>
    <n v="85800.320000000007"/>
    <n v="48"/>
    <n v="73"/>
    <n v="8291.09"/>
    <n v="4072.85"/>
    <x v="1"/>
    <x v="1"/>
  </r>
  <r>
    <s v="R00483"/>
    <x v="4"/>
    <n v="79"/>
    <x v="5"/>
    <n v="74069.570000000007"/>
    <n v="53464.51"/>
    <n v="80"/>
    <n v="24"/>
    <n v="63964.89"/>
    <n v="1672.62"/>
    <x v="0"/>
    <x v="1"/>
  </r>
  <r>
    <s v="R00052"/>
    <x v="1"/>
    <n v="56"/>
    <x v="5"/>
    <n v="47270.86"/>
    <n v="29001.53"/>
    <n v="42"/>
    <n v="23"/>
    <n v="8258.34"/>
    <n v="7978.01"/>
    <x v="0"/>
    <x v="1"/>
  </r>
  <r>
    <s v="R00232"/>
    <x v="3"/>
    <n v="106"/>
    <x v="5"/>
    <n v="72977.2"/>
    <n v="45779.85"/>
    <n v="29"/>
    <n v="31"/>
    <n v="68816.56"/>
    <n v="939.75"/>
    <x v="0"/>
    <x v="1"/>
  </r>
  <r>
    <s v="R00738"/>
    <x v="4"/>
    <n v="19"/>
    <x v="5"/>
    <n v="27038.38"/>
    <n v="16977.43"/>
    <n v="55"/>
    <n v="26"/>
    <n v="9714.01"/>
    <n v="5095.03"/>
    <x v="0"/>
    <x v="1"/>
  </r>
  <r>
    <s v="R00172"/>
    <x v="3"/>
    <n v="119"/>
    <x v="5"/>
    <n v="106722.16"/>
    <n v="94770.06"/>
    <n v="18"/>
    <n v="22"/>
    <n v="53012.89"/>
    <n v="1246.77"/>
    <x v="0"/>
    <x v="1"/>
  </r>
  <r>
    <s v="R00196"/>
    <x v="3"/>
    <n v="118"/>
    <x v="5"/>
    <n v="97194.37"/>
    <n v="101180.12"/>
    <n v="25"/>
    <n v="32"/>
    <n v="49459.79"/>
    <n v="11852.54"/>
    <x v="1"/>
    <x v="1"/>
  </r>
  <r>
    <s v="R00204"/>
    <x v="3"/>
    <n v="16"/>
    <x v="5"/>
    <n v="25915.32"/>
    <n v="22177.77"/>
    <n v="36"/>
    <n v="22"/>
    <n v="0"/>
    <n v="0"/>
    <x v="0"/>
    <x v="1"/>
  </r>
  <r>
    <s v="R00648"/>
    <x v="5"/>
    <n v="68"/>
    <x v="5"/>
    <n v="53259.05"/>
    <n v="50109.7"/>
    <n v="35"/>
    <n v="52"/>
    <n v="18709.919999999998"/>
    <n v="4519.1099999999997"/>
    <x v="0"/>
    <x v="1"/>
  </r>
  <r>
    <s v="R00375"/>
    <x v="3"/>
    <n v="117"/>
    <x v="5"/>
    <n v="86251.88"/>
    <n v="61589.45"/>
    <n v="54"/>
    <n v="17"/>
    <n v="23839.34"/>
    <n v="5424.07"/>
    <x v="0"/>
    <x v="1"/>
  </r>
  <r>
    <s v="R00611"/>
    <x v="0"/>
    <n v="18"/>
    <x v="5"/>
    <n v="18342.830000000002"/>
    <n v="15148.1"/>
    <n v="21"/>
    <n v="51"/>
    <n v="11139.13"/>
    <n v="0"/>
    <x v="0"/>
    <x v="1"/>
  </r>
  <r>
    <s v="R00604"/>
    <x v="2"/>
    <n v="31"/>
    <x v="5"/>
    <n v="21186.79"/>
    <n v="17601.349999999999"/>
    <n v="10"/>
    <n v="28"/>
    <n v="49982.96"/>
    <n v="2399.6999999999998"/>
    <x v="0"/>
    <x v="1"/>
  </r>
  <r>
    <s v="R00666"/>
    <x v="5"/>
    <n v="68"/>
    <x v="5"/>
    <n v="68570.42"/>
    <n v="68540.740000000005"/>
    <n v="24"/>
    <n v="36"/>
    <n v="12794.95"/>
    <n v="0"/>
    <x v="0"/>
    <x v="1"/>
  </r>
  <r>
    <s v="R00193"/>
    <x v="2"/>
    <n v="53"/>
    <x v="5"/>
    <n v="36608.51"/>
    <n v="25210.9"/>
    <n v="29"/>
    <n v="19"/>
    <n v="33230.75"/>
    <n v="0"/>
    <x v="0"/>
    <x v="1"/>
  </r>
  <r>
    <s v="R00192"/>
    <x v="4"/>
    <n v="58"/>
    <x v="5"/>
    <n v="50730.18"/>
    <n v="42330"/>
    <n v="60"/>
    <n v="24"/>
    <n v="15780.08"/>
    <n v="6691.88"/>
    <x v="0"/>
    <x v="1"/>
  </r>
  <r>
    <s v="R00032"/>
    <x v="0"/>
    <n v="65"/>
    <x v="5"/>
    <n v="40964.370000000003"/>
    <n v="43178.92"/>
    <n v="42"/>
    <n v="39"/>
    <n v="58210.9"/>
    <n v="0"/>
    <x v="0"/>
    <x v="1"/>
  </r>
  <r>
    <s v="R00568"/>
    <x v="1"/>
    <n v="100"/>
    <x v="5"/>
    <n v="67835.17"/>
    <n v="51190.720000000001"/>
    <n v="42"/>
    <n v="12"/>
    <n v="65707.740000000005"/>
    <n v="770.4"/>
    <x v="0"/>
    <x v="1"/>
  </r>
  <r>
    <s v="R00235"/>
    <x v="5"/>
    <n v="68"/>
    <x v="5"/>
    <n v="71624.63"/>
    <n v="76304.990000000005"/>
    <n v="18"/>
    <n v="12"/>
    <n v="40375.61"/>
    <n v="0"/>
    <x v="1"/>
    <x v="1"/>
  </r>
  <r>
    <s v="R00567"/>
    <x v="4"/>
    <n v="42"/>
    <x v="5"/>
    <n v="45601.33"/>
    <n v="48515.99"/>
    <n v="47"/>
    <n v="26"/>
    <n v="71148.92"/>
    <n v="9235.7000000000007"/>
    <x v="0"/>
    <x v="1"/>
  </r>
  <r>
    <s v="R00402"/>
    <x v="5"/>
    <n v="98"/>
    <x v="5"/>
    <n v="74449.679999999993"/>
    <n v="74023.83"/>
    <n v="43"/>
    <n v="45"/>
    <n v="15843.14"/>
    <n v="9702.7999999999993"/>
    <x v="0"/>
    <x v="1"/>
  </r>
  <r>
    <s v="R00545"/>
    <x v="0"/>
    <n v="107"/>
    <x v="5"/>
    <n v="83639.009999999995"/>
    <n v="86181.03"/>
    <n v="38"/>
    <n v="25"/>
    <n v="57613.14"/>
    <n v="11937.02"/>
    <x v="1"/>
    <x v="1"/>
  </r>
  <r>
    <s v="R01400"/>
    <x v="5"/>
    <n v="5"/>
    <x v="5"/>
    <n v="4520.34"/>
    <n v="3516.91"/>
    <n v="21"/>
    <n v="38"/>
    <n v="5072.7"/>
    <n v="3975.17"/>
    <x v="0"/>
    <x v="1"/>
  </r>
  <r>
    <s v="R00027"/>
    <x v="3"/>
    <n v="70"/>
    <x v="5"/>
    <n v="63985.16"/>
    <n v="44006.559999999998"/>
    <n v="33"/>
    <n v="16"/>
    <n v="4596.3500000000004"/>
    <n v="4134.38"/>
    <x v="1"/>
    <x v="1"/>
  </r>
  <r>
    <s v="R01398"/>
    <x v="0"/>
    <n v="107"/>
    <x v="5"/>
    <n v="98048.04"/>
    <n v="96462.25"/>
    <n v="49"/>
    <n v="18"/>
    <n v="34381"/>
    <n v="3872.12"/>
    <x v="0"/>
    <x v="1"/>
  </r>
  <r>
    <s v="R01395"/>
    <x v="2"/>
    <n v="85"/>
    <x v="5"/>
    <n v="62812.18"/>
    <n v="55782.080000000002"/>
    <n v="22"/>
    <n v="32"/>
    <n v="48848.28"/>
    <n v="0"/>
    <x v="0"/>
    <x v="1"/>
  </r>
  <r>
    <s v="R00540"/>
    <x v="2"/>
    <n v="46"/>
    <x v="5"/>
    <n v="51368.17"/>
    <n v="54669.97"/>
    <n v="58"/>
    <n v="20"/>
    <n v="39174.160000000003"/>
    <n v="1244.1099999999999"/>
    <x v="0"/>
    <x v="1"/>
  </r>
  <r>
    <s v="R00717"/>
    <x v="3"/>
    <n v="71"/>
    <x v="5"/>
    <n v="58161.52"/>
    <n v="59396.87"/>
    <n v="45"/>
    <n v="12"/>
    <n v="44447.97"/>
    <n v="8627.64"/>
    <x v="0"/>
    <x v="1"/>
  </r>
  <r>
    <s v="R01385"/>
    <x v="1"/>
    <n v="15"/>
    <x v="5"/>
    <n v="16198.3"/>
    <n v="16592.990000000002"/>
    <n v="44"/>
    <n v="16"/>
    <n v="34115.96"/>
    <n v="2251.66"/>
    <x v="0"/>
    <x v="1"/>
  </r>
  <r>
    <s v="R00358"/>
    <x v="5"/>
    <n v="51"/>
    <x v="5"/>
    <n v="33605.15"/>
    <n v="30390.1"/>
    <n v="48"/>
    <n v="6"/>
    <n v="6845.87"/>
    <n v="0"/>
    <x v="0"/>
    <x v="1"/>
  </r>
  <r>
    <s v="R01161"/>
    <x v="0"/>
    <n v="19"/>
    <x v="5"/>
    <n v="17735.62"/>
    <n v="18898.46"/>
    <n v="42"/>
    <n v="9"/>
    <n v="46014.89"/>
    <n v="12114.44"/>
    <x v="0"/>
    <x v="1"/>
  </r>
  <r>
    <s v="R01488"/>
    <x v="3"/>
    <n v="79"/>
    <x v="5"/>
    <n v="81353.5"/>
    <n v="71360.73"/>
    <n v="14"/>
    <n v="25"/>
    <n v="10170.969999999999"/>
    <n v="3562.68"/>
    <x v="0"/>
    <x v="1"/>
  </r>
  <r>
    <s v="R01472"/>
    <x v="3"/>
    <n v="47"/>
    <x v="5"/>
    <n v="45713.23"/>
    <n v="44253.73"/>
    <n v="32"/>
    <n v="9"/>
    <n v="45955.82"/>
    <n v="0"/>
    <x v="0"/>
    <x v="1"/>
  </r>
  <r>
    <s v="R00339"/>
    <x v="2"/>
    <n v="21"/>
    <x v="5"/>
    <n v="21855.9"/>
    <n v="21382.62"/>
    <n v="14"/>
    <n v="25"/>
    <n v="28438.33"/>
    <n v="7709.14"/>
    <x v="0"/>
    <x v="1"/>
  </r>
  <r>
    <s v="R00416"/>
    <x v="5"/>
    <n v="27"/>
    <x v="5"/>
    <n v="16768.599999999999"/>
    <n v="15468.94"/>
    <n v="30"/>
    <n v="14"/>
    <n v="26737.59"/>
    <n v="10592.17"/>
    <x v="0"/>
    <x v="1"/>
  </r>
  <r>
    <s v="R01224"/>
    <x v="1"/>
    <n v="19"/>
    <x v="5"/>
    <n v="36874.949999999997"/>
    <n v="25661.07"/>
    <n v="36"/>
    <n v="32"/>
    <n v="15105.67"/>
    <n v="1883.14"/>
    <x v="0"/>
    <x v="1"/>
  </r>
  <r>
    <s v="R00978"/>
    <x v="2"/>
    <n v="70"/>
    <x v="5"/>
    <n v="55653.78"/>
    <n v="56729.06"/>
    <n v="57"/>
    <n v="41"/>
    <n v="0"/>
    <n v="0"/>
    <x v="0"/>
    <x v="1"/>
  </r>
  <r>
    <s v="R00126"/>
    <x v="1"/>
    <n v="76"/>
    <x v="5"/>
    <n v="69518.490000000005"/>
    <n v="64636.39"/>
    <n v="39"/>
    <n v="36"/>
    <n v="12739.51"/>
    <n v="0"/>
    <x v="0"/>
    <x v="1"/>
  </r>
  <r>
    <s v="R00975"/>
    <x v="1"/>
    <n v="96"/>
    <x v="5"/>
    <n v="72893.210000000006"/>
    <n v="57127.39"/>
    <n v="48"/>
    <n v="12"/>
    <n v="55576.27"/>
    <n v="0"/>
    <x v="0"/>
    <x v="1"/>
  </r>
  <r>
    <s v="R00072"/>
    <x v="5"/>
    <n v="68"/>
    <x v="5"/>
    <n v="58749.13"/>
    <n v="45002.87"/>
    <n v="39"/>
    <n v="7"/>
    <n v="6228.33"/>
    <n v="0"/>
    <x v="1"/>
    <x v="1"/>
  </r>
  <r>
    <s v="R01127"/>
    <x v="2"/>
    <n v="28"/>
    <x v="5"/>
    <n v="25025.87"/>
    <n v="15392.08"/>
    <n v="42"/>
    <n v="0"/>
    <n v="66998.83"/>
    <n v="3396.96"/>
    <x v="0"/>
    <x v="1"/>
  </r>
  <r>
    <s v="R00872"/>
    <x v="0"/>
    <n v="26"/>
    <x v="5"/>
    <n v="32493.279999999999"/>
    <n v="31713.42"/>
    <n v="58"/>
    <n v="48"/>
    <n v="0"/>
    <n v="5030.1899999999996"/>
    <x v="0"/>
    <x v="1"/>
  </r>
  <r>
    <s v="R00116"/>
    <x v="3"/>
    <n v="32"/>
    <x v="5"/>
    <n v="9526.5499999999993"/>
    <n v="9492.35"/>
    <n v="46"/>
    <n v="39"/>
    <n v="52435.16"/>
    <n v="6585.24"/>
    <x v="0"/>
    <x v="1"/>
  </r>
  <r>
    <s v="R01180"/>
    <x v="1"/>
    <n v="27"/>
    <x v="5"/>
    <n v="33879.99"/>
    <n v="20826.580000000002"/>
    <n v="28"/>
    <n v="58"/>
    <n v="46056.9"/>
    <n v="1825.77"/>
    <x v="0"/>
    <x v="1"/>
  </r>
  <r>
    <s v="R00061"/>
    <x v="3"/>
    <n v="95"/>
    <x v="5"/>
    <n v="81812.91"/>
    <n v="61541.64"/>
    <n v="69"/>
    <n v="36"/>
    <n v="68578.460000000006"/>
    <n v="77.150000000000006"/>
    <x v="0"/>
    <x v="1"/>
  </r>
  <r>
    <s v="R00877"/>
    <x v="4"/>
    <n v="113"/>
    <x v="5"/>
    <n v="81795.509999999995"/>
    <n v="50478.19"/>
    <n v="49"/>
    <n v="8"/>
    <n v="34401.040000000001"/>
    <n v="4684.49"/>
    <x v="0"/>
    <x v="1"/>
  </r>
  <r>
    <s v="R00881"/>
    <x v="1"/>
    <n v="52"/>
    <x v="5"/>
    <n v="58033.49"/>
    <n v="59998.51"/>
    <n v="13"/>
    <n v="20"/>
    <n v="3552.88"/>
    <n v="7724.64"/>
    <x v="0"/>
    <x v="1"/>
  </r>
  <r>
    <s v="R00068"/>
    <x v="2"/>
    <n v="93"/>
    <x v="5"/>
    <n v="78080.03"/>
    <n v="58585.5"/>
    <n v="54"/>
    <n v="38"/>
    <n v="32503.68"/>
    <n v="3768.29"/>
    <x v="0"/>
    <x v="1"/>
  </r>
  <r>
    <s v="R00956"/>
    <x v="4"/>
    <n v="95"/>
    <x v="5"/>
    <n v="87167.89"/>
    <n v="81167.47"/>
    <n v="21"/>
    <n v="10"/>
    <n v="39941.89"/>
    <n v="4634.3900000000003"/>
    <x v="0"/>
    <x v="1"/>
  </r>
  <r>
    <s v="R01072"/>
    <x v="4"/>
    <n v="12"/>
    <x v="5"/>
    <n v="26896.17"/>
    <n v="15872.45"/>
    <n v="17"/>
    <n v="35"/>
    <n v="14523.58"/>
    <n v="8172.55"/>
    <x v="1"/>
    <x v="1"/>
  </r>
  <r>
    <s v="R00303"/>
    <x v="4"/>
    <n v="44"/>
    <x v="5"/>
    <n v="37527.46"/>
    <n v="32313.53"/>
    <n v="59"/>
    <n v="44"/>
    <n v="50904.77"/>
    <n v="2418.81"/>
    <x v="0"/>
    <x v="1"/>
  </r>
  <r>
    <s v="R01232"/>
    <x v="5"/>
    <n v="96"/>
    <x v="5"/>
    <n v="86410.76"/>
    <n v="83533.899999999994"/>
    <n v="44"/>
    <n v="9"/>
    <n v="24980.94"/>
    <n v="0"/>
    <x v="0"/>
    <x v="1"/>
  </r>
  <r>
    <s v="R00948"/>
    <x v="3"/>
    <n v="7"/>
    <x v="5"/>
    <n v="13115.76"/>
    <n v="11336.01"/>
    <n v="31"/>
    <n v="26"/>
    <n v="12561.8"/>
    <n v="2804.1"/>
    <x v="1"/>
    <x v="1"/>
  </r>
  <r>
    <s v="R00933"/>
    <x v="5"/>
    <n v="82"/>
    <x v="5"/>
    <n v="62330.21"/>
    <n v="63886.5"/>
    <n v="23"/>
    <n v="31"/>
    <n v="0"/>
    <n v="995.97"/>
    <x v="0"/>
    <x v="1"/>
  </r>
  <r>
    <s v="R01123"/>
    <x v="2"/>
    <n v="119"/>
    <x v="5"/>
    <n v="101301.61"/>
    <n v="81509.47"/>
    <n v="11"/>
    <n v="24"/>
    <n v="39037.43"/>
    <n v="16367.39"/>
    <x v="0"/>
    <x v="1"/>
  </r>
  <r>
    <s v="R00931"/>
    <x v="4"/>
    <n v="36"/>
    <x v="5"/>
    <n v="16868.07"/>
    <n v="14849.12"/>
    <n v="30"/>
    <n v="55"/>
    <n v="0"/>
    <n v="10277.950000000001"/>
    <x v="0"/>
    <x v="1"/>
  </r>
  <r>
    <s v="R01051"/>
    <x v="0"/>
    <n v="39"/>
    <x v="5"/>
    <n v="26630.95"/>
    <n v="15697.51"/>
    <n v="22"/>
    <n v="41"/>
    <n v="40570.76"/>
    <n v="2606.88"/>
    <x v="0"/>
    <x v="1"/>
  </r>
  <r>
    <s v="R01024"/>
    <x v="0"/>
    <n v="104"/>
    <x v="5"/>
    <n v="91948.3"/>
    <n v="92728.02"/>
    <n v="64"/>
    <n v="33"/>
    <n v="0"/>
    <n v="7033.65"/>
    <x v="1"/>
    <x v="1"/>
  </r>
  <r>
    <s v="R00085"/>
    <x v="2"/>
    <n v="10"/>
    <x v="5"/>
    <n v="22082.53"/>
    <n v="18611.349999999999"/>
    <n v="42"/>
    <n v="40"/>
    <n v="10717.76"/>
    <n v="3178.07"/>
    <x v="0"/>
    <x v="1"/>
  </r>
  <r>
    <s v="R01140"/>
    <x v="0"/>
    <n v="92"/>
    <x v="5"/>
    <n v="89804.11"/>
    <n v="96278.27"/>
    <n v="48"/>
    <n v="11"/>
    <n v="14945"/>
    <n v="7061.74"/>
    <x v="0"/>
    <x v="1"/>
  </r>
  <r>
    <s v="R01103"/>
    <x v="0"/>
    <n v="99"/>
    <x v="5"/>
    <n v="79892.28"/>
    <n v="71374.8"/>
    <n v="37"/>
    <n v="51"/>
    <n v="23121.7"/>
    <n v="0"/>
    <x v="1"/>
    <x v="1"/>
  </r>
  <r>
    <s v="R01187"/>
    <x v="0"/>
    <n v="111"/>
    <x v="5"/>
    <n v="86142.32"/>
    <n v="54895.44"/>
    <n v="35"/>
    <n v="27"/>
    <n v="0"/>
    <n v="6250.38"/>
    <x v="0"/>
    <x v="1"/>
  </r>
  <r>
    <s v="R00289"/>
    <x v="3"/>
    <n v="81"/>
    <x v="5"/>
    <n v="81533.36"/>
    <n v="66080.820000000007"/>
    <n v="47"/>
    <n v="26"/>
    <n v="33308.78"/>
    <n v="0"/>
    <x v="0"/>
    <x v="1"/>
  </r>
  <r>
    <s v="R01166"/>
    <x v="4"/>
    <n v="3"/>
    <x v="5"/>
    <n v="9347.2800000000007"/>
    <n v="6200.05"/>
    <n v="34"/>
    <n v="0"/>
    <n v="21323.9"/>
    <n v="2046.06"/>
    <x v="0"/>
    <x v="1"/>
  </r>
  <r>
    <s v="R00336"/>
    <x v="5"/>
    <n v="47"/>
    <x v="5"/>
    <n v="50820.72"/>
    <n v="43806.55"/>
    <n v="64"/>
    <n v="23"/>
    <n v="16193.29"/>
    <n v="373.22"/>
    <x v="0"/>
    <x v="1"/>
  </r>
  <r>
    <s v="R00832"/>
    <x v="3"/>
    <n v="95"/>
    <x v="5"/>
    <n v="68871.02"/>
    <n v="67645.850000000006"/>
    <n v="40"/>
    <n v="36"/>
    <n v="74075.09"/>
    <n v="0"/>
    <x v="0"/>
    <x v="1"/>
  </r>
  <r>
    <s v="R01317"/>
    <x v="3"/>
    <n v="33"/>
    <x v="5"/>
    <n v="34311.839999999997"/>
    <n v="27701.03"/>
    <n v="28"/>
    <n v="55"/>
    <n v="38919.339999999997"/>
    <n v="6195.09"/>
    <x v="1"/>
    <x v="1"/>
  </r>
  <r>
    <s v="R00109"/>
    <x v="0"/>
    <n v="46"/>
    <x v="5"/>
    <n v="44598.1"/>
    <n v="34843.230000000003"/>
    <n v="35"/>
    <n v="52"/>
    <n v="0"/>
    <n v="0"/>
    <x v="0"/>
    <x v="1"/>
  </r>
  <r>
    <s v="R01085"/>
    <x v="2"/>
    <n v="45"/>
    <x v="5"/>
    <n v="31289.33"/>
    <n v="24196.55"/>
    <n v="47"/>
    <n v="9"/>
    <n v="61224.38"/>
    <n v="0"/>
    <x v="0"/>
    <x v="1"/>
  </r>
  <r>
    <s v="R01312"/>
    <x v="1"/>
    <n v="76"/>
    <x v="5"/>
    <n v="74435.490000000005"/>
    <n v="56107.9"/>
    <n v="32"/>
    <n v="27"/>
    <n v="14072.25"/>
    <n v="6887.43"/>
    <x v="0"/>
    <x v="1"/>
  </r>
  <r>
    <s v="R00992"/>
    <x v="1"/>
    <n v="30"/>
    <x v="5"/>
    <n v="24247.02"/>
    <n v="21274.720000000001"/>
    <n v="60"/>
    <n v="43"/>
    <n v="38285.94"/>
    <n v="0"/>
    <x v="0"/>
    <x v="1"/>
  </r>
  <r>
    <s v="R00111"/>
    <x v="3"/>
    <n v="26"/>
    <x v="5"/>
    <n v="28606.48"/>
    <n v="20935.759999999998"/>
    <n v="47"/>
    <n v="79"/>
    <n v="23016.59"/>
    <n v="211.91"/>
    <x v="1"/>
    <x v="1"/>
  </r>
  <r>
    <s v="R01244"/>
    <x v="2"/>
    <n v="25"/>
    <x v="5"/>
    <n v="28529.46"/>
    <n v="28531.27"/>
    <n v="53"/>
    <n v="10"/>
    <n v="46153.27"/>
    <n v="7901.22"/>
    <x v="0"/>
    <x v="1"/>
  </r>
  <r>
    <s v="R00848"/>
    <x v="5"/>
    <n v="21"/>
    <x v="5"/>
    <n v="22589.02"/>
    <n v="19067.86"/>
    <n v="31"/>
    <n v="26"/>
    <n v="21245.09"/>
    <n v="5022.74"/>
    <x v="0"/>
    <x v="1"/>
  </r>
  <r>
    <s v="R00298"/>
    <x v="3"/>
    <n v="120"/>
    <x v="6"/>
    <n v="105689.8"/>
    <n v="76011.05"/>
    <n v="36"/>
    <n v="13"/>
    <n v="40449.050000000003"/>
    <n v="4810.7299999999996"/>
    <x v="0"/>
    <x v="1"/>
  </r>
  <r>
    <s v="R01453"/>
    <x v="1"/>
    <n v="69"/>
    <x v="6"/>
    <n v="67770.59"/>
    <n v="67457.39"/>
    <n v="30"/>
    <n v="13"/>
    <n v="17751.78"/>
    <n v="11789.98"/>
    <x v="0"/>
    <x v="1"/>
  </r>
  <r>
    <s v="R00045"/>
    <x v="5"/>
    <n v="113"/>
    <x v="6"/>
    <n v="93806.51"/>
    <n v="64445.15"/>
    <n v="60"/>
    <n v="2"/>
    <n v="68168.320000000007"/>
    <n v="0"/>
    <x v="0"/>
    <x v="1"/>
  </r>
  <r>
    <s v="R01110"/>
    <x v="1"/>
    <n v="41"/>
    <x v="6"/>
    <n v="30624.33"/>
    <n v="32016.84"/>
    <n v="55"/>
    <n v="0"/>
    <n v="29362.53"/>
    <n v="3468.96"/>
    <x v="0"/>
    <x v="1"/>
  </r>
  <r>
    <s v="R01481"/>
    <x v="5"/>
    <n v="102"/>
    <x v="6"/>
    <n v="82546.34"/>
    <n v="84561.2"/>
    <n v="24"/>
    <n v="11"/>
    <n v="53711.67"/>
    <n v="5574.61"/>
    <x v="0"/>
    <x v="1"/>
  </r>
  <r>
    <s v="R00270"/>
    <x v="0"/>
    <n v="52"/>
    <x v="6"/>
    <n v="50115.78"/>
    <n v="46678.87"/>
    <n v="58"/>
    <n v="44"/>
    <n v="3136.9"/>
    <n v="7230.47"/>
    <x v="0"/>
    <x v="1"/>
  </r>
  <r>
    <s v="R01250"/>
    <x v="5"/>
    <n v="108"/>
    <x v="6"/>
    <n v="86394.48"/>
    <n v="55144.05"/>
    <n v="10"/>
    <n v="39"/>
    <n v="31964.45"/>
    <n v="14538.45"/>
    <x v="0"/>
    <x v="1"/>
  </r>
  <r>
    <s v="R01442"/>
    <x v="3"/>
    <n v="79"/>
    <x v="6"/>
    <n v="65718.490000000005"/>
    <n v="55714.9"/>
    <n v="23"/>
    <n v="23"/>
    <n v="15535.62"/>
    <n v="5746.77"/>
    <x v="0"/>
    <x v="1"/>
  </r>
  <r>
    <s v="R00392"/>
    <x v="0"/>
    <n v="98"/>
    <x v="6"/>
    <n v="78306.25"/>
    <n v="56765.97"/>
    <n v="64"/>
    <n v="48"/>
    <n v="63110.38"/>
    <n v="4324.66"/>
    <x v="0"/>
    <x v="1"/>
  </r>
  <r>
    <s v="R01196"/>
    <x v="3"/>
    <n v="76"/>
    <x v="6"/>
    <n v="70714.429999999993"/>
    <n v="59177.09"/>
    <n v="30"/>
    <n v="50"/>
    <n v="46213.93"/>
    <n v="0"/>
    <x v="0"/>
    <x v="1"/>
  </r>
  <r>
    <s v="R01501"/>
    <x v="0"/>
    <n v="65"/>
    <x v="6"/>
    <n v="61401.07"/>
    <n v="65198.03"/>
    <n v="66"/>
    <n v="9"/>
    <n v="0"/>
    <n v="0"/>
    <x v="0"/>
    <x v="1"/>
  </r>
  <r>
    <s v="R00987"/>
    <x v="2"/>
    <n v="53"/>
    <x v="6"/>
    <n v="56328.34"/>
    <n v="55351.31"/>
    <n v="14"/>
    <n v="39"/>
    <n v="47297.13"/>
    <n v="0"/>
    <x v="0"/>
    <x v="1"/>
  </r>
  <r>
    <s v="R00035"/>
    <x v="0"/>
    <n v="99"/>
    <x v="6"/>
    <n v="91312.03"/>
    <n v="68372.69"/>
    <n v="23"/>
    <n v="9"/>
    <n v="56619.49"/>
    <n v="0"/>
    <x v="0"/>
    <x v="1"/>
  </r>
  <r>
    <s v="R01265"/>
    <x v="4"/>
    <n v="22"/>
    <x v="6"/>
    <n v="20955.060000000001"/>
    <n v="12853.01"/>
    <n v="63"/>
    <n v="34"/>
    <n v="30942.2"/>
    <n v="9056.09"/>
    <x v="1"/>
    <x v="1"/>
  </r>
  <r>
    <s v="R01107"/>
    <x v="2"/>
    <n v="90"/>
    <x v="6"/>
    <n v="77989"/>
    <n v="50082.97"/>
    <n v="41"/>
    <n v="1"/>
    <n v="0"/>
    <n v="4076.88"/>
    <x v="0"/>
    <x v="1"/>
  </r>
  <r>
    <s v="R00191"/>
    <x v="3"/>
    <n v="3"/>
    <x v="6"/>
    <n v="23687.97"/>
    <n v="17644.37"/>
    <n v="16"/>
    <n v="16"/>
    <n v="104383.23"/>
    <n v="2332.8000000000002"/>
    <x v="0"/>
    <x v="1"/>
  </r>
  <r>
    <s v="R01439"/>
    <x v="5"/>
    <n v="15"/>
    <x v="6"/>
    <n v="15772.78"/>
    <n v="9724.68"/>
    <n v="57"/>
    <n v="0"/>
    <n v="10415.1"/>
    <n v="0"/>
    <x v="0"/>
    <x v="1"/>
  </r>
  <r>
    <s v="R00619"/>
    <x v="1"/>
    <n v="83"/>
    <x v="6"/>
    <n v="75725.63"/>
    <n v="54387.43"/>
    <n v="41"/>
    <n v="9"/>
    <n v="46514.82"/>
    <n v="440.17"/>
    <x v="1"/>
    <x v="1"/>
  </r>
  <r>
    <s v="R01497"/>
    <x v="0"/>
    <n v="98"/>
    <x v="6"/>
    <n v="74804.41"/>
    <n v="67323.83"/>
    <n v="33"/>
    <n v="17"/>
    <n v="49514.76"/>
    <n v="9154.3799999999992"/>
    <x v="0"/>
    <x v="1"/>
  </r>
  <r>
    <s v="R00965"/>
    <x v="4"/>
    <n v="60"/>
    <x v="6"/>
    <n v="43572.69"/>
    <n v="31515.45"/>
    <n v="25"/>
    <n v="62"/>
    <n v="32290.43"/>
    <n v="6484.19"/>
    <x v="0"/>
    <x v="1"/>
  </r>
  <r>
    <s v="R01496"/>
    <x v="2"/>
    <n v="85"/>
    <x v="6"/>
    <n v="57662.21"/>
    <n v="54014.400000000001"/>
    <n v="57"/>
    <n v="34"/>
    <n v="52711.78"/>
    <n v="683.74"/>
    <x v="0"/>
    <x v="1"/>
  </r>
  <r>
    <s v="R00628"/>
    <x v="4"/>
    <n v="53"/>
    <x v="6"/>
    <n v="38986.699999999997"/>
    <n v="40517.71"/>
    <n v="21"/>
    <n v="62"/>
    <n v="25803.83"/>
    <n v="10399.32"/>
    <x v="1"/>
    <x v="1"/>
  </r>
  <r>
    <s v="R01204"/>
    <x v="1"/>
    <n v="85"/>
    <x v="6"/>
    <n v="87798.12"/>
    <n v="71572.81"/>
    <n v="47"/>
    <n v="28"/>
    <n v="52460.36"/>
    <n v="3933.98"/>
    <x v="0"/>
    <x v="1"/>
  </r>
  <r>
    <s v="R00638"/>
    <x v="5"/>
    <n v="108"/>
    <x v="6"/>
    <n v="86013.119999999995"/>
    <n v="74005.67"/>
    <n v="28"/>
    <n v="54"/>
    <n v="63550.55"/>
    <n v="0"/>
    <x v="1"/>
    <x v="1"/>
  </r>
  <r>
    <s v="R01256"/>
    <x v="4"/>
    <n v="111"/>
    <x v="6"/>
    <n v="98600.24"/>
    <n v="98915.66"/>
    <n v="31"/>
    <n v="19"/>
    <n v="59630.14"/>
    <n v="0"/>
    <x v="0"/>
    <x v="1"/>
  </r>
  <r>
    <s v="R00665"/>
    <x v="4"/>
    <n v="71"/>
    <x v="6"/>
    <n v="58307.22"/>
    <n v="44318.19"/>
    <n v="17"/>
    <n v="11"/>
    <n v="72908.13"/>
    <n v="4739.1400000000003"/>
    <x v="0"/>
    <x v="1"/>
  </r>
  <r>
    <s v="R01078"/>
    <x v="5"/>
    <n v="99"/>
    <x v="6"/>
    <n v="80164.240000000005"/>
    <n v="46651.43"/>
    <n v="56"/>
    <n v="40"/>
    <n v="53471.79"/>
    <n v="6889.02"/>
    <x v="0"/>
    <x v="1"/>
  </r>
  <r>
    <s v="R00968"/>
    <x v="2"/>
    <n v="61"/>
    <x v="6"/>
    <n v="51128.56"/>
    <n v="31552.240000000002"/>
    <n v="52"/>
    <n v="21"/>
    <n v="22744.09"/>
    <n v="4861.6099999999997"/>
    <x v="0"/>
    <x v="1"/>
  </r>
  <r>
    <s v="R00337"/>
    <x v="3"/>
    <n v="41"/>
    <x v="6"/>
    <n v="32889.29"/>
    <n v="19974.599999999999"/>
    <n v="41"/>
    <n v="0"/>
    <n v="62097.96"/>
    <n v="0"/>
    <x v="0"/>
    <x v="1"/>
  </r>
  <r>
    <s v="R00385"/>
    <x v="2"/>
    <n v="41"/>
    <x v="6"/>
    <n v="45915.8"/>
    <n v="45474"/>
    <n v="50"/>
    <n v="75"/>
    <n v="39256.58"/>
    <n v="0"/>
    <x v="1"/>
    <x v="1"/>
  </r>
  <r>
    <s v="R01083"/>
    <x v="5"/>
    <n v="76"/>
    <x v="6"/>
    <n v="84127.19"/>
    <n v="75985.210000000006"/>
    <n v="27"/>
    <n v="10"/>
    <n v="57347.46"/>
    <n v="1567.09"/>
    <x v="1"/>
    <x v="1"/>
  </r>
  <r>
    <s v="R00927"/>
    <x v="2"/>
    <n v="16"/>
    <x v="6"/>
    <n v="36335.589999999997"/>
    <n v="34876.14"/>
    <n v="45"/>
    <n v="32"/>
    <n v="58483.95"/>
    <n v="6405.11"/>
    <x v="0"/>
    <x v="1"/>
  </r>
  <r>
    <s v="R00904"/>
    <x v="3"/>
    <n v="76"/>
    <x v="6"/>
    <n v="70602.81"/>
    <n v="62903.86"/>
    <n v="18"/>
    <n v="35"/>
    <n v="0"/>
    <n v="0"/>
    <x v="0"/>
    <x v="1"/>
  </r>
  <r>
    <s v="R01391"/>
    <x v="3"/>
    <n v="84"/>
    <x v="6"/>
    <n v="68962.559999999998"/>
    <n v="62500.21"/>
    <n v="46"/>
    <n v="11"/>
    <n v="5697.4"/>
    <n v="9401.2000000000007"/>
    <x v="0"/>
    <x v="1"/>
  </r>
  <r>
    <s v="R00775"/>
    <x v="0"/>
    <n v="88"/>
    <x v="6"/>
    <n v="90360.27"/>
    <n v="64646.45"/>
    <n v="47"/>
    <n v="27"/>
    <n v="5592.16"/>
    <n v="3738.34"/>
    <x v="0"/>
    <x v="1"/>
  </r>
  <r>
    <s v="R01172"/>
    <x v="3"/>
    <n v="47"/>
    <x v="6"/>
    <n v="30613.53"/>
    <n v="18137.14"/>
    <n v="52"/>
    <n v="10"/>
    <n v="65387.69"/>
    <n v="72.36"/>
    <x v="0"/>
    <x v="1"/>
  </r>
  <r>
    <s v="R01063"/>
    <x v="2"/>
    <n v="46"/>
    <x v="6"/>
    <n v="44744.68"/>
    <n v="34831.199999999997"/>
    <n v="57"/>
    <n v="32"/>
    <n v="83028.429999999993"/>
    <n v="4055.56"/>
    <x v="1"/>
    <x v="1"/>
  </r>
  <r>
    <s v="R00559"/>
    <x v="1"/>
    <n v="96"/>
    <x v="6"/>
    <n v="72199.460000000006"/>
    <n v="47247.18"/>
    <n v="50"/>
    <n v="14"/>
    <n v="27747.93"/>
    <n v="354.85"/>
    <x v="0"/>
    <x v="1"/>
  </r>
  <r>
    <s v="R00850"/>
    <x v="2"/>
    <n v="31"/>
    <x v="6"/>
    <n v="26864.27"/>
    <n v="20264.95"/>
    <n v="33"/>
    <n v="49"/>
    <n v="8337.41"/>
    <n v="5171.1099999999997"/>
    <x v="0"/>
    <x v="1"/>
  </r>
  <r>
    <s v="R01310"/>
    <x v="5"/>
    <n v="34"/>
    <x v="6"/>
    <n v="31758.95"/>
    <n v="33548.03"/>
    <n v="25"/>
    <n v="8"/>
    <n v="33663.93"/>
    <n v="2501.91"/>
    <x v="0"/>
    <x v="1"/>
  </r>
  <r>
    <s v="R00847"/>
    <x v="1"/>
    <n v="30"/>
    <x v="6"/>
    <n v="28290.12"/>
    <n v="27055.74"/>
    <n v="50"/>
    <n v="67"/>
    <n v="0"/>
    <n v="3724.44"/>
    <x v="0"/>
    <x v="1"/>
  </r>
  <r>
    <s v="R00788"/>
    <x v="2"/>
    <n v="51"/>
    <x v="6"/>
    <n v="51702.49"/>
    <n v="38195.67"/>
    <n v="20"/>
    <n v="45"/>
    <n v="34917.82"/>
    <n v="0"/>
    <x v="0"/>
    <x v="1"/>
  </r>
  <r>
    <s v="R00401"/>
    <x v="2"/>
    <n v="44"/>
    <x v="6"/>
    <n v="33198.71"/>
    <n v="34521.910000000003"/>
    <n v="52"/>
    <n v="39"/>
    <n v="21018.21"/>
    <n v="0"/>
    <x v="0"/>
    <x v="1"/>
  </r>
  <r>
    <s v="R00412"/>
    <x v="4"/>
    <n v="61"/>
    <x v="6"/>
    <n v="62280.9"/>
    <n v="67107.39"/>
    <n v="46"/>
    <n v="24"/>
    <n v="35017.1"/>
    <n v="3350.66"/>
    <x v="0"/>
    <x v="1"/>
  </r>
  <r>
    <s v="R01313"/>
    <x v="5"/>
    <n v="92"/>
    <x v="6"/>
    <n v="69307.42"/>
    <n v="74763.81"/>
    <n v="35"/>
    <n v="58"/>
    <n v="32633.119999999999"/>
    <n v="2745.31"/>
    <x v="1"/>
    <x v="1"/>
  </r>
  <r>
    <s v="R00842"/>
    <x v="3"/>
    <n v="97"/>
    <x v="6"/>
    <n v="80989.67"/>
    <n v="76930.06"/>
    <n v="50"/>
    <n v="28"/>
    <n v="13194.2"/>
    <n v="0"/>
    <x v="0"/>
    <x v="1"/>
  </r>
  <r>
    <s v="R00838"/>
    <x v="1"/>
    <n v="89"/>
    <x v="6"/>
    <n v="60152.32"/>
    <n v="36032.39"/>
    <n v="53"/>
    <n v="0"/>
    <n v="30669.77"/>
    <n v="5021.2299999999996"/>
    <x v="0"/>
    <x v="1"/>
  </r>
  <r>
    <s v="R00837"/>
    <x v="2"/>
    <n v="78"/>
    <x v="6"/>
    <n v="41221.33"/>
    <n v="33971.870000000003"/>
    <n v="41"/>
    <n v="19"/>
    <n v="0"/>
    <n v="9833.5300000000007"/>
    <x v="0"/>
    <x v="1"/>
  </r>
  <r>
    <s v="R01335"/>
    <x v="3"/>
    <n v="104"/>
    <x v="6"/>
    <n v="88450.78"/>
    <n v="90954.25"/>
    <n v="30"/>
    <n v="25"/>
    <n v="66620.22"/>
    <n v="6707.29"/>
    <x v="0"/>
    <x v="1"/>
  </r>
  <r>
    <s v="R00801"/>
    <x v="5"/>
    <n v="77"/>
    <x v="6"/>
    <n v="61447.63"/>
    <n v="57571.27"/>
    <n v="10"/>
    <n v="4"/>
    <n v="30515.78"/>
    <n v="1434.18"/>
    <x v="1"/>
    <x v="1"/>
  </r>
  <r>
    <s v="R01535"/>
    <x v="4"/>
    <n v="63"/>
    <x v="6"/>
    <n v="64779.040000000001"/>
    <n v="45992.37"/>
    <n v="41"/>
    <n v="76"/>
    <n v="68734.679999999993"/>
    <n v="0"/>
    <x v="0"/>
    <x v="1"/>
  </r>
  <r>
    <s v="R00831"/>
    <x v="5"/>
    <n v="31"/>
    <x v="6"/>
    <n v="31104.28"/>
    <n v="30819.13"/>
    <n v="40"/>
    <n v="35"/>
    <n v="0"/>
    <n v="0"/>
    <x v="1"/>
    <x v="1"/>
  </r>
  <r>
    <s v="R01329"/>
    <x v="5"/>
    <n v="23"/>
    <x v="6"/>
    <n v="40318.21"/>
    <n v="41598.65"/>
    <n v="42"/>
    <n v="41"/>
    <n v="60377.16"/>
    <n v="0"/>
    <x v="0"/>
    <x v="1"/>
  </r>
  <r>
    <s v="R00827"/>
    <x v="5"/>
    <n v="51"/>
    <x v="6"/>
    <n v="45260.36"/>
    <n v="33860.699999999997"/>
    <n v="10"/>
    <n v="30"/>
    <n v="13366.8"/>
    <n v="0"/>
    <x v="0"/>
    <x v="1"/>
  </r>
  <r>
    <s v="R00796"/>
    <x v="1"/>
    <n v="57"/>
    <x v="6"/>
    <n v="54757.95"/>
    <n v="52256.74"/>
    <n v="24"/>
    <n v="12"/>
    <n v="50306.78"/>
    <n v="6836.31"/>
    <x v="0"/>
    <x v="1"/>
  </r>
  <r>
    <s v="R00548"/>
    <x v="5"/>
    <n v="41"/>
    <x v="6"/>
    <n v="44299.01"/>
    <n v="38093.67"/>
    <n v="41"/>
    <n v="37"/>
    <n v="56318.33"/>
    <n v="4401.3999999999996"/>
    <x v="0"/>
    <x v="1"/>
  </r>
  <r>
    <s v="R00295"/>
    <x v="5"/>
    <n v="104"/>
    <x v="6"/>
    <n v="62149.35"/>
    <n v="46545.04"/>
    <n v="30"/>
    <n v="19"/>
    <n v="53011.54"/>
    <n v="4956.2700000000004"/>
    <x v="0"/>
    <x v="1"/>
  </r>
  <r>
    <s v="R01378"/>
    <x v="3"/>
    <n v="110"/>
    <x v="6"/>
    <n v="87087.64"/>
    <n v="91428.38"/>
    <n v="43"/>
    <n v="37"/>
    <n v="24876.25"/>
    <n v="3182.12"/>
    <x v="0"/>
    <x v="1"/>
  </r>
  <r>
    <s v="R01278"/>
    <x v="3"/>
    <n v="41"/>
    <x v="6"/>
    <n v="35053.69"/>
    <n v="34449.550000000003"/>
    <n v="54"/>
    <n v="60"/>
    <n v="35425.35"/>
    <n v="3005.5"/>
    <x v="0"/>
    <x v="1"/>
  </r>
  <r>
    <s v="R01025"/>
    <x v="5"/>
    <n v="83"/>
    <x v="6"/>
    <n v="72341.19"/>
    <n v="43863.38"/>
    <n v="46"/>
    <n v="0"/>
    <n v="10689.76"/>
    <n v="1900.05"/>
    <x v="0"/>
    <x v="1"/>
  </r>
  <r>
    <s v="R00912"/>
    <x v="2"/>
    <n v="101"/>
    <x v="6"/>
    <n v="75402.41"/>
    <n v="48759.08"/>
    <n v="41"/>
    <n v="37"/>
    <n v="85613.92"/>
    <n v="3839.1"/>
    <x v="0"/>
    <x v="1"/>
  </r>
  <r>
    <s v="R00482"/>
    <x v="0"/>
    <n v="77"/>
    <x v="6"/>
    <n v="65051.72"/>
    <n v="55881.06"/>
    <n v="47"/>
    <n v="0"/>
    <n v="50269.26"/>
    <n v="870.8"/>
    <x v="0"/>
    <x v="1"/>
  </r>
  <r>
    <s v="R01012"/>
    <x v="4"/>
    <n v="93"/>
    <x v="6"/>
    <n v="67413.789999999994"/>
    <n v="62632.45"/>
    <n v="59"/>
    <n v="31"/>
    <n v="22084.21"/>
    <n v="5247.05"/>
    <x v="0"/>
    <x v="1"/>
  </r>
  <r>
    <s v="R00721"/>
    <x v="3"/>
    <n v="43"/>
    <x v="6"/>
    <n v="36987.24"/>
    <n v="34705.089999999997"/>
    <n v="43"/>
    <n v="43"/>
    <n v="27767.759999999998"/>
    <n v="3439.93"/>
    <x v="0"/>
    <x v="1"/>
  </r>
  <r>
    <s v="R01285"/>
    <x v="3"/>
    <n v="66"/>
    <x v="6"/>
    <n v="55951.64"/>
    <n v="56817.93"/>
    <n v="68"/>
    <n v="15"/>
    <n v="37911.99"/>
    <n v="0"/>
    <x v="0"/>
    <x v="1"/>
  </r>
  <r>
    <s v="R00594"/>
    <x v="0"/>
    <n v="30"/>
    <x v="6"/>
    <n v="49633.9"/>
    <n v="42590.75"/>
    <n v="60"/>
    <n v="17"/>
    <n v="34189.99"/>
    <n v="8631.7000000000007"/>
    <x v="0"/>
    <x v="1"/>
  </r>
  <r>
    <s v="R01544"/>
    <x v="1"/>
    <n v="8"/>
    <x v="6"/>
    <n v="12086.05"/>
    <n v="10594.11"/>
    <n v="38"/>
    <n v="36"/>
    <n v="47252.87"/>
    <n v="0"/>
    <x v="0"/>
    <x v="1"/>
  </r>
  <r>
    <s v="R00477"/>
    <x v="0"/>
    <n v="82"/>
    <x v="6"/>
    <n v="77970.36"/>
    <n v="57902.42"/>
    <n v="59"/>
    <n v="20"/>
    <n v="29173.16"/>
    <n v="4248.53"/>
    <x v="0"/>
    <x v="1"/>
  </r>
  <r>
    <s v="R01299"/>
    <x v="2"/>
    <n v="17"/>
    <x v="6"/>
    <n v="34017.800000000003"/>
    <n v="26970.78"/>
    <n v="64"/>
    <n v="40"/>
    <n v="17850.59"/>
    <n v="0"/>
    <x v="0"/>
    <x v="1"/>
  </r>
  <r>
    <s v="R00615"/>
    <x v="0"/>
    <n v="108"/>
    <x v="6"/>
    <n v="97552.62"/>
    <n v="67313.56"/>
    <n v="30"/>
    <n v="44"/>
    <n v="65742.38"/>
    <n v="0"/>
    <x v="0"/>
    <x v="1"/>
  </r>
  <r>
    <s v="R00318"/>
    <x v="0"/>
    <n v="16"/>
    <x v="6"/>
    <n v="29988.09"/>
    <n v="18689.82"/>
    <n v="19"/>
    <n v="32"/>
    <n v="39554.93"/>
    <n v="17338.009999999998"/>
    <x v="1"/>
    <x v="1"/>
  </r>
  <r>
    <s v="R01515"/>
    <x v="5"/>
    <n v="8"/>
    <x v="6"/>
    <n v="6644.12"/>
    <n v="5293.09"/>
    <n v="44"/>
    <n v="15"/>
    <n v="62208.76"/>
    <n v="4086.68"/>
    <x v="0"/>
    <x v="1"/>
  </r>
  <r>
    <s v="R01227"/>
    <x v="2"/>
    <n v="38"/>
    <x v="6"/>
    <n v="32258"/>
    <n v="24514.42"/>
    <n v="48"/>
    <n v="22"/>
    <n v="0"/>
    <n v="5926.51"/>
    <x v="1"/>
    <x v="1"/>
  </r>
  <r>
    <s v="R00250"/>
    <x v="3"/>
    <n v="114"/>
    <x v="6"/>
    <n v="99742.99"/>
    <n v="71929.02"/>
    <n v="41"/>
    <n v="64"/>
    <n v="0"/>
    <n v="6046.8"/>
    <x v="0"/>
    <x v="1"/>
  </r>
  <r>
    <s v="R00180"/>
    <x v="4"/>
    <n v="48"/>
    <x v="6"/>
    <n v="49712.33"/>
    <n v="30403.35"/>
    <n v="54"/>
    <n v="77"/>
    <n v="41191.980000000003"/>
    <n v="0"/>
    <x v="0"/>
    <x v="1"/>
  </r>
  <r>
    <s v="R01463"/>
    <x v="5"/>
    <n v="30"/>
    <x v="6"/>
    <n v="35792.81"/>
    <n v="24840.3"/>
    <n v="43"/>
    <n v="19"/>
    <n v="43383.35"/>
    <n v="0"/>
    <x v="0"/>
    <x v="1"/>
  </r>
  <r>
    <s v="R00750"/>
    <x v="4"/>
    <n v="55"/>
    <x v="6"/>
    <n v="46808.29"/>
    <n v="47543.63"/>
    <n v="13"/>
    <n v="26"/>
    <n v="64138.3"/>
    <n v="8.5"/>
    <x v="0"/>
    <x v="1"/>
  </r>
  <r>
    <s v="R01130"/>
    <x v="3"/>
    <n v="69"/>
    <x v="6"/>
    <n v="75032.25"/>
    <n v="61398.720000000001"/>
    <n v="45"/>
    <n v="67"/>
    <n v="45135.11"/>
    <n v="6058.41"/>
    <x v="1"/>
    <x v="1"/>
  </r>
  <r>
    <s v="R00444"/>
    <x v="3"/>
    <n v="37"/>
    <x v="6"/>
    <n v="27275.67"/>
    <n v="26639.79"/>
    <n v="35"/>
    <n v="21"/>
    <n v="50058.91"/>
    <n v="0"/>
    <x v="0"/>
    <x v="1"/>
  </r>
  <r>
    <s v="R00159"/>
    <x v="4"/>
    <n v="79"/>
    <x v="6"/>
    <n v="55852.9"/>
    <n v="55989.85"/>
    <n v="54"/>
    <n v="5"/>
    <n v="31747.84"/>
    <n v="3300.01"/>
    <x v="0"/>
    <x v="1"/>
  </r>
  <r>
    <s v="R00405"/>
    <x v="1"/>
    <n v="72"/>
    <x v="7"/>
    <n v="65683.08"/>
    <n v="51336.82"/>
    <n v="33"/>
    <n v="18"/>
    <n v="6095.58"/>
    <n v="0"/>
    <x v="0"/>
    <x v="1"/>
  </r>
  <r>
    <s v="R01591"/>
    <x v="3"/>
    <n v="116"/>
    <x v="7"/>
    <n v="73166.7"/>
    <n v="47583.5"/>
    <n v="10"/>
    <n v="32"/>
    <n v="35554.800000000003"/>
    <n v="5950.99"/>
    <x v="0"/>
    <x v="1"/>
  </r>
  <r>
    <s v="R01073"/>
    <x v="2"/>
    <n v="56"/>
    <x v="7"/>
    <n v="43020.06"/>
    <n v="33060.620000000003"/>
    <n v="17"/>
    <n v="29"/>
    <n v="86743.17"/>
    <n v="6373.19"/>
    <x v="0"/>
    <x v="1"/>
  </r>
  <r>
    <s v="R00816"/>
    <x v="3"/>
    <n v="106"/>
    <x v="7"/>
    <n v="87493.05"/>
    <n v="52920.02"/>
    <n v="36"/>
    <n v="40"/>
    <n v="63956.46"/>
    <n v="3750.35"/>
    <x v="0"/>
    <x v="1"/>
  </r>
  <r>
    <s v="R01081"/>
    <x v="0"/>
    <n v="50"/>
    <x v="7"/>
    <n v="62802.720000000001"/>
    <n v="47463.9"/>
    <n v="31"/>
    <n v="25"/>
    <n v="74293.97"/>
    <n v="7779.37"/>
    <x v="0"/>
    <x v="1"/>
  </r>
  <r>
    <s v="R01153"/>
    <x v="4"/>
    <n v="111"/>
    <x v="7"/>
    <n v="85387.92"/>
    <n v="71355.399999999994"/>
    <n v="36"/>
    <n v="57"/>
    <n v="49186.559999999998"/>
    <n v="5549.68"/>
    <x v="0"/>
    <x v="1"/>
  </r>
  <r>
    <s v="R00261"/>
    <x v="1"/>
    <n v="71"/>
    <x v="7"/>
    <n v="64993"/>
    <n v="45570.89"/>
    <n v="44"/>
    <n v="0"/>
    <n v="53985.5"/>
    <n v="0"/>
    <x v="0"/>
    <x v="1"/>
  </r>
  <r>
    <s v="R00421"/>
    <x v="5"/>
    <n v="21"/>
    <x v="7"/>
    <n v="28728.71"/>
    <n v="28916.01"/>
    <n v="26"/>
    <n v="22"/>
    <n v="38949.279999999999"/>
    <n v="226.57"/>
    <x v="0"/>
    <x v="1"/>
  </r>
  <r>
    <s v="R00291"/>
    <x v="5"/>
    <n v="20"/>
    <x v="7"/>
    <n v="6443.16"/>
    <n v="5072.8999999999996"/>
    <n v="58"/>
    <n v="17"/>
    <n v="43188.82"/>
    <n v="9433.36"/>
    <x v="0"/>
    <x v="1"/>
  </r>
  <r>
    <s v="R01541"/>
    <x v="3"/>
    <n v="59"/>
    <x v="7"/>
    <n v="63350.69"/>
    <n v="51352.89"/>
    <n v="65"/>
    <n v="42"/>
    <n v="34476.36"/>
    <n v="0"/>
    <x v="0"/>
    <x v="1"/>
  </r>
  <r>
    <s v="R00446"/>
    <x v="2"/>
    <n v="3"/>
    <x v="7"/>
    <n v="5736.9"/>
    <n v="3935.32"/>
    <n v="18"/>
    <n v="38"/>
    <n v="12077.12"/>
    <n v="0"/>
    <x v="0"/>
    <x v="1"/>
  </r>
  <r>
    <s v="R00410"/>
    <x v="0"/>
    <n v="101"/>
    <x v="7"/>
    <n v="103014.92"/>
    <n v="74300.91"/>
    <n v="58"/>
    <n v="42"/>
    <n v="47693.17"/>
    <n v="7723.11"/>
    <x v="0"/>
    <x v="1"/>
  </r>
  <r>
    <s v="R00462"/>
    <x v="2"/>
    <n v="30"/>
    <x v="7"/>
    <n v="41245.01"/>
    <n v="27403.97"/>
    <n v="41"/>
    <n v="15"/>
    <n v="45933.15"/>
    <n v="0"/>
    <x v="0"/>
    <x v="1"/>
  </r>
  <r>
    <s v="R00409"/>
    <x v="0"/>
    <n v="96"/>
    <x v="7"/>
    <n v="84355.85"/>
    <n v="57030.52"/>
    <n v="21"/>
    <n v="24"/>
    <n v="0"/>
    <n v="3910.4"/>
    <x v="0"/>
    <x v="1"/>
  </r>
  <r>
    <s v="R00248"/>
    <x v="5"/>
    <n v="85"/>
    <x v="7"/>
    <n v="72244.03"/>
    <n v="49792.43"/>
    <n v="48"/>
    <n v="38"/>
    <n v="67398.539999999994"/>
    <n v="6549.92"/>
    <x v="1"/>
    <x v="1"/>
  </r>
  <r>
    <s v="R00296"/>
    <x v="4"/>
    <n v="98"/>
    <x v="7"/>
    <n v="87933.31"/>
    <n v="92878.2"/>
    <n v="61"/>
    <n v="1"/>
    <n v="64371.07"/>
    <n v="2294.4899999999998"/>
    <x v="0"/>
    <x v="1"/>
  </r>
  <r>
    <s v="R01183"/>
    <x v="1"/>
    <n v="89"/>
    <x v="7"/>
    <n v="77569.929999999993"/>
    <n v="66539.820000000007"/>
    <n v="57"/>
    <n v="8"/>
    <n v="36477.49"/>
    <n v="6391.08"/>
    <x v="1"/>
    <x v="1"/>
  </r>
  <r>
    <s v="R00485"/>
    <x v="5"/>
    <n v="53"/>
    <x v="7"/>
    <n v="25349.29"/>
    <n v="16837.57"/>
    <n v="46"/>
    <n v="32"/>
    <n v="16154.93"/>
    <n v="3658.04"/>
    <x v="0"/>
    <x v="1"/>
  </r>
  <r>
    <s v="R01120"/>
    <x v="1"/>
    <n v="65"/>
    <x v="7"/>
    <n v="44871.56"/>
    <n v="33626.199999999997"/>
    <n v="42"/>
    <n v="47"/>
    <n v="36451.61"/>
    <n v="0"/>
    <x v="1"/>
    <x v="1"/>
  </r>
  <r>
    <s v="R00240"/>
    <x v="5"/>
    <n v="109"/>
    <x v="7"/>
    <n v="80736.210000000006"/>
    <n v="60170.96"/>
    <n v="44"/>
    <n v="22"/>
    <n v="22611.86"/>
    <n v="0"/>
    <x v="1"/>
    <x v="1"/>
  </r>
  <r>
    <s v="R00263"/>
    <x v="2"/>
    <n v="101"/>
    <x v="7"/>
    <n v="79864.259999999995"/>
    <n v="49900.69"/>
    <n v="22"/>
    <n v="50"/>
    <n v="50385.79"/>
    <n v="6079.93"/>
    <x v="0"/>
    <x v="1"/>
  </r>
  <r>
    <s v="R00496"/>
    <x v="0"/>
    <n v="59"/>
    <x v="7"/>
    <n v="59056.71"/>
    <n v="60287.94"/>
    <n v="36"/>
    <n v="35"/>
    <n v="24325.93"/>
    <n v="6215.46"/>
    <x v="0"/>
    <x v="1"/>
  </r>
  <r>
    <s v="R00297"/>
    <x v="5"/>
    <n v="69"/>
    <x v="7"/>
    <n v="73594.880000000005"/>
    <n v="74475.97"/>
    <n v="32"/>
    <n v="58"/>
    <n v="64828.47"/>
    <n v="7479.08"/>
    <x v="0"/>
    <x v="1"/>
  </r>
  <r>
    <s v="R01192"/>
    <x v="4"/>
    <n v="62"/>
    <x v="7"/>
    <n v="45119.96"/>
    <n v="33286.01"/>
    <n v="26"/>
    <n v="37"/>
    <n v="28325.91"/>
    <n v="9489.7099999999991"/>
    <x v="0"/>
    <x v="1"/>
  </r>
  <r>
    <s v="R00406"/>
    <x v="0"/>
    <n v="114"/>
    <x v="7"/>
    <n v="105006.2"/>
    <n v="84688.18"/>
    <n v="69"/>
    <n v="33"/>
    <n v="44553.24"/>
    <n v="0"/>
    <x v="0"/>
    <x v="1"/>
  </r>
  <r>
    <s v="R00522"/>
    <x v="1"/>
    <n v="60"/>
    <x v="7"/>
    <n v="34199.75"/>
    <n v="30555.46"/>
    <n v="42"/>
    <n v="33"/>
    <n v="46668.55"/>
    <n v="4007.96"/>
    <x v="0"/>
    <x v="1"/>
  </r>
  <r>
    <s v="R01482"/>
    <x v="3"/>
    <n v="38"/>
    <x v="7"/>
    <n v="22890.15"/>
    <n v="22954.32"/>
    <n v="19"/>
    <n v="47"/>
    <n v="45375.41"/>
    <n v="3806.34"/>
    <x v="0"/>
    <x v="1"/>
  </r>
  <r>
    <s v="R01059"/>
    <x v="1"/>
    <n v="104"/>
    <x v="7"/>
    <n v="87633.31"/>
    <n v="60904.56"/>
    <n v="43"/>
    <n v="8"/>
    <n v="24197.79"/>
    <n v="6916.71"/>
    <x v="0"/>
    <x v="1"/>
  </r>
  <r>
    <s v="R01243"/>
    <x v="2"/>
    <n v="48"/>
    <x v="7"/>
    <n v="36661.07"/>
    <n v="27025.55"/>
    <n v="33"/>
    <n v="25"/>
    <n v="48726.58"/>
    <n v="6651.4"/>
    <x v="0"/>
    <x v="1"/>
  </r>
  <r>
    <s v="R00223"/>
    <x v="4"/>
    <n v="95"/>
    <x v="7"/>
    <n v="84764.3"/>
    <n v="68101.94"/>
    <n v="62"/>
    <n v="18"/>
    <n v="24261.02"/>
    <n v="2689.02"/>
    <x v="0"/>
    <x v="1"/>
  </r>
  <r>
    <s v="R00701"/>
    <x v="2"/>
    <n v="13"/>
    <x v="7"/>
    <n v="9423.98"/>
    <n v="6119.68"/>
    <n v="42"/>
    <n v="21"/>
    <n v="60991.44"/>
    <n v="8290.2900000000009"/>
    <x v="0"/>
    <x v="1"/>
  </r>
  <r>
    <s v="R00152"/>
    <x v="5"/>
    <n v="19"/>
    <x v="7"/>
    <n v="11065.9"/>
    <n v="9261.4500000000007"/>
    <n v="26"/>
    <n v="34"/>
    <n v="34938.269999999997"/>
    <n v="4671.63"/>
    <x v="0"/>
    <x v="1"/>
  </r>
  <r>
    <s v="R00906"/>
    <x v="3"/>
    <n v="87"/>
    <x v="7"/>
    <n v="76210.2"/>
    <n v="60290.42"/>
    <n v="10"/>
    <n v="48"/>
    <n v="92474.8"/>
    <n v="6800.78"/>
    <x v="0"/>
    <x v="1"/>
  </r>
  <r>
    <s v="R00314"/>
    <x v="4"/>
    <n v="39"/>
    <x v="7"/>
    <n v="30910.720000000001"/>
    <n v="20342.490000000002"/>
    <n v="26"/>
    <n v="9"/>
    <n v="4698.3500000000004"/>
    <n v="2703.73"/>
    <x v="1"/>
    <x v="1"/>
  </r>
  <r>
    <s v="R01381"/>
    <x v="5"/>
    <n v="4"/>
    <x v="7"/>
    <n v="4117.82"/>
    <n v="4417.47"/>
    <n v="28"/>
    <n v="47"/>
    <n v="70752.399999999994"/>
    <n v="0"/>
    <x v="0"/>
    <x v="1"/>
  </r>
  <r>
    <s v="R00900"/>
    <x v="5"/>
    <n v="13"/>
    <x v="7"/>
    <n v="17740.88"/>
    <n v="18131.419999999998"/>
    <n v="24"/>
    <n v="20"/>
    <n v="34025.11"/>
    <n v="5644.44"/>
    <x v="0"/>
    <x v="1"/>
  </r>
  <r>
    <s v="R00726"/>
    <x v="0"/>
    <n v="100"/>
    <x v="7"/>
    <n v="84435.71"/>
    <n v="55397.11"/>
    <n v="22"/>
    <n v="40"/>
    <n v="74957.179999999993"/>
    <n v="10527.62"/>
    <x v="1"/>
    <x v="1"/>
  </r>
  <r>
    <s v="R00729"/>
    <x v="5"/>
    <n v="68"/>
    <x v="7"/>
    <n v="47430.39"/>
    <n v="42604.53"/>
    <n v="21"/>
    <n v="15"/>
    <n v="68819.81"/>
    <n v="5922.68"/>
    <x v="0"/>
    <x v="1"/>
  </r>
  <r>
    <s v="R01374"/>
    <x v="1"/>
    <n v="26"/>
    <x v="7"/>
    <n v="19860.34"/>
    <n v="11592.28"/>
    <n v="75"/>
    <n v="69"/>
    <n v="33456.769999999997"/>
    <n v="0"/>
    <x v="0"/>
    <x v="1"/>
  </r>
  <r>
    <s v="R00739"/>
    <x v="4"/>
    <n v="27"/>
    <x v="7"/>
    <n v="28355.1"/>
    <n v="20468.48"/>
    <n v="13"/>
    <n v="41"/>
    <n v="22144.17"/>
    <n v="9584.27"/>
    <x v="0"/>
    <x v="1"/>
  </r>
  <r>
    <s v="R01366"/>
    <x v="4"/>
    <n v="45"/>
    <x v="7"/>
    <n v="30914.93"/>
    <n v="25027.34"/>
    <n v="37"/>
    <n v="21"/>
    <n v="654.58000000000004"/>
    <n v="0"/>
    <x v="0"/>
    <x v="1"/>
  </r>
  <r>
    <s v="R00277"/>
    <x v="0"/>
    <n v="110"/>
    <x v="7"/>
    <n v="78386.86"/>
    <n v="73944.13"/>
    <n v="70"/>
    <n v="51"/>
    <n v="18643.13"/>
    <n v="4337.78"/>
    <x v="1"/>
    <x v="1"/>
  </r>
  <r>
    <s v="R01053"/>
    <x v="4"/>
    <n v="17"/>
    <x v="7"/>
    <n v="13647.29"/>
    <n v="11447.32"/>
    <n v="40"/>
    <n v="93"/>
    <n v="18078.38"/>
    <n v="5034.62"/>
    <x v="1"/>
    <x v="1"/>
  </r>
  <r>
    <s v="R00754"/>
    <x v="4"/>
    <n v="80"/>
    <x v="7"/>
    <n v="71953.53"/>
    <n v="44672.86"/>
    <n v="25"/>
    <n v="52"/>
    <n v="24298.77"/>
    <n v="4905.1499999999996"/>
    <x v="0"/>
    <x v="1"/>
  </r>
  <r>
    <s v="R00349"/>
    <x v="5"/>
    <n v="5"/>
    <x v="7"/>
    <n v="7256.23"/>
    <n v="4611.58"/>
    <n v="40"/>
    <n v="55"/>
    <n v="15937.55"/>
    <n v="0"/>
    <x v="0"/>
    <x v="1"/>
  </r>
  <r>
    <s v="R01359"/>
    <x v="0"/>
    <n v="63"/>
    <x v="7"/>
    <n v="72007.55"/>
    <n v="52045.47"/>
    <n v="32"/>
    <n v="12"/>
    <n v="40046.629999999997"/>
    <n v="173.79"/>
    <x v="0"/>
    <x v="1"/>
  </r>
  <r>
    <s v="R00766"/>
    <x v="2"/>
    <n v="67"/>
    <x v="7"/>
    <n v="56747.199999999997"/>
    <n v="53198.97"/>
    <n v="33"/>
    <n v="29"/>
    <n v="48038.85"/>
    <n v="5125.59"/>
    <x v="0"/>
    <x v="1"/>
  </r>
  <r>
    <s v="R00867"/>
    <x v="3"/>
    <n v="53"/>
    <x v="7"/>
    <n v="39773.61"/>
    <n v="25927"/>
    <n v="39"/>
    <n v="10"/>
    <n v="52091.74"/>
    <n v="2193.85"/>
    <x v="0"/>
    <x v="1"/>
  </r>
  <r>
    <s v="R01355"/>
    <x v="1"/>
    <n v="72"/>
    <x v="7"/>
    <n v="71734.03"/>
    <n v="70676.7"/>
    <n v="50"/>
    <n v="15"/>
    <n v="41815.68"/>
    <n v="1314.07"/>
    <x v="0"/>
    <x v="1"/>
  </r>
  <r>
    <s v="R00772"/>
    <x v="2"/>
    <n v="116"/>
    <x v="7"/>
    <n v="79765.16"/>
    <n v="80654.61"/>
    <n v="52"/>
    <n v="48"/>
    <n v="32899.800000000003"/>
    <n v="9551.26"/>
    <x v="0"/>
    <x v="1"/>
  </r>
  <r>
    <s v="R00417"/>
    <x v="5"/>
    <n v="108"/>
    <x v="7"/>
    <n v="69999.34"/>
    <n v="56494.01"/>
    <n v="40"/>
    <n v="0"/>
    <n v="0"/>
    <n v="1370.63"/>
    <x v="0"/>
    <x v="1"/>
  </r>
  <r>
    <s v="R01301"/>
    <x v="3"/>
    <n v="9"/>
    <x v="7"/>
    <n v="4047.69"/>
    <n v="2500"/>
    <n v="38"/>
    <n v="33"/>
    <n v="17091.07"/>
    <n v="7884.82"/>
    <x v="0"/>
    <x v="1"/>
  </r>
  <r>
    <s v="R00859"/>
    <x v="5"/>
    <n v="83"/>
    <x v="7"/>
    <n v="51804.12"/>
    <n v="33014.19"/>
    <n v="28"/>
    <n v="40"/>
    <n v="19504.310000000001"/>
    <n v="9584.43"/>
    <x v="0"/>
    <x v="1"/>
  </r>
  <r>
    <s v="R00782"/>
    <x v="4"/>
    <n v="54"/>
    <x v="7"/>
    <n v="46897.23"/>
    <n v="44141.05"/>
    <n v="59"/>
    <n v="50"/>
    <n v="4511.28"/>
    <n v="2889.99"/>
    <x v="0"/>
    <x v="1"/>
  </r>
  <r>
    <s v="R00791"/>
    <x v="0"/>
    <n v="85"/>
    <x v="7"/>
    <n v="60485.81"/>
    <n v="56749.34"/>
    <n v="34"/>
    <n v="34"/>
    <n v="72527.100000000006"/>
    <n v="4709.59"/>
    <x v="0"/>
    <x v="1"/>
  </r>
  <r>
    <s v="R01575"/>
    <x v="4"/>
    <n v="85"/>
    <x v="7"/>
    <n v="70525.820000000007"/>
    <n v="73205.48"/>
    <n v="45"/>
    <n v="47"/>
    <n v="16858.62"/>
    <n v="6482.02"/>
    <x v="0"/>
    <x v="1"/>
  </r>
  <r>
    <s v="R01361"/>
    <x v="1"/>
    <n v="27"/>
    <x v="7"/>
    <n v="18666.05"/>
    <n v="17207.29"/>
    <n v="47"/>
    <n v="25"/>
    <n v="13745.07"/>
    <n v="1974.02"/>
    <x v="1"/>
    <x v="1"/>
  </r>
  <r>
    <s v="R00149"/>
    <x v="0"/>
    <n v="60"/>
    <x v="7"/>
    <n v="50307.61"/>
    <n v="34091.1"/>
    <n v="70"/>
    <n v="4"/>
    <n v="39583.39"/>
    <n v="0"/>
    <x v="0"/>
    <x v="1"/>
  </r>
  <r>
    <s v="R01160"/>
    <x v="1"/>
    <n v="28"/>
    <x v="7"/>
    <n v="16019.06"/>
    <n v="12832.74"/>
    <n v="54"/>
    <n v="58"/>
    <n v="30119.18"/>
    <n v="0"/>
    <x v="0"/>
    <x v="1"/>
  </r>
  <r>
    <s v="R01397"/>
    <x v="1"/>
    <n v="51"/>
    <x v="7"/>
    <n v="38125.879999999997"/>
    <n v="30964.27"/>
    <n v="58"/>
    <n v="20"/>
    <n v="0"/>
    <n v="0"/>
    <x v="1"/>
    <x v="1"/>
  </r>
  <r>
    <s v="R01220"/>
    <x v="1"/>
    <n v="111"/>
    <x v="7"/>
    <n v="93185.29"/>
    <n v="87158.43"/>
    <n v="16"/>
    <n v="7"/>
    <n v="47099.68"/>
    <n v="8816.1200000000008"/>
    <x v="0"/>
    <x v="1"/>
  </r>
  <r>
    <s v="R01039"/>
    <x v="2"/>
    <n v="112"/>
    <x v="7"/>
    <n v="93117.05"/>
    <n v="72590.23"/>
    <n v="56"/>
    <n v="51"/>
    <n v="11104.69"/>
    <n v="10392.379999999999"/>
    <x v="0"/>
    <x v="1"/>
  </r>
  <r>
    <s v="R00586"/>
    <x v="1"/>
    <n v="52"/>
    <x v="7"/>
    <n v="35676.83"/>
    <n v="33187.56"/>
    <n v="34"/>
    <n v="24"/>
    <n v="48158.17"/>
    <n v="5922.6"/>
    <x v="1"/>
    <x v="1"/>
  </r>
  <r>
    <s v="R00208"/>
    <x v="5"/>
    <n v="46"/>
    <x v="7"/>
    <n v="48795.58"/>
    <n v="33470.89"/>
    <n v="53"/>
    <n v="20"/>
    <n v="42161.06"/>
    <n v="1083.1400000000001"/>
    <x v="1"/>
    <x v="1"/>
  </r>
  <r>
    <s v="R01013"/>
    <x v="2"/>
    <n v="27"/>
    <x v="7"/>
    <n v="36896.53"/>
    <n v="22724.95"/>
    <n v="26"/>
    <n v="27"/>
    <n v="37685.440000000002"/>
    <n v="0"/>
    <x v="1"/>
    <x v="1"/>
  </r>
  <r>
    <s v="R01448"/>
    <x v="3"/>
    <n v="70"/>
    <x v="7"/>
    <n v="51794.89"/>
    <n v="48387.17"/>
    <n v="38"/>
    <n v="56"/>
    <n v="54140.63"/>
    <n v="4253.6499999999996"/>
    <x v="0"/>
    <x v="1"/>
  </r>
  <r>
    <s v="R00071"/>
    <x v="1"/>
    <n v="9"/>
    <x v="7"/>
    <n v="22581.69"/>
    <n v="20889.400000000001"/>
    <n v="38"/>
    <n v="43"/>
    <n v="20187.89"/>
    <n v="319.32"/>
    <x v="0"/>
    <x v="1"/>
  </r>
  <r>
    <s v="R00994"/>
    <x v="3"/>
    <n v="48"/>
    <x v="7"/>
    <n v="61087.22"/>
    <n v="65076.97"/>
    <n v="36"/>
    <n v="51"/>
    <n v="61513.19"/>
    <n v="6993.83"/>
    <x v="0"/>
    <x v="1"/>
  </r>
  <r>
    <s v="R01437"/>
    <x v="0"/>
    <n v="53"/>
    <x v="7"/>
    <n v="58711.48"/>
    <n v="55806.13"/>
    <n v="55"/>
    <n v="36"/>
    <n v="46354.93"/>
    <n v="6819.32"/>
    <x v="0"/>
    <x v="1"/>
  </r>
  <r>
    <s v="R00200"/>
    <x v="1"/>
    <n v="46"/>
    <x v="7"/>
    <n v="54523.14"/>
    <n v="41264.93"/>
    <n v="15"/>
    <n v="28"/>
    <n v="68011.11"/>
    <n v="193.34"/>
    <x v="0"/>
    <x v="1"/>
  </r>
  <r>
    <s v="R00635"/>
    <x v="2"/>
    <n v="119"/>
    <x v="7"/>
    <n v="91963.05"/>
    <n v="77188.929999999993"/>
    <n v="40"/>
    <n v="3"/>
    <n v="36165.21"/>
    <n v="4671.63"/>
    <x v="0"/>
    <x v="1"/>
  </r>
  <r>
    <s v="R00697"/>
    <x v="5"/>
    <n v="93"/>
    <x v="7"/>
    <n v="61371.89"/>
    <n v="41205.519999999997"/>
    <n v="35"/>
    <n v="0"/>
    <n v="0"/>
    <n v="0"/>
    <x v="0"/>
    <x v="1"/>
  </r>
  <r>
    <s v="R00989"/>
    <x v="2"/>
    <n v="88"/>
    <x v="7"/>
    <n v="65491.37"/>
    <n v="41467.51"/>
    <n v="51"/>
    <n v="21"/>
    <n v="60379.63"/>
    <n v="0"/>
    <x v="0"/>
    <x v="1"/>
  </r>
  <r>
    <s v="R00037"/>
    <x v="0"/>
    <n v="6"/>
    <x v="7"/>
    <n v="15296.8"/>
    <n v="8966.7900000000009"/>
    <n v="51"/>
    <n v="0"/>
    <n v="47368.18"/>
    <n v="0"/>
    <x v="0"/>
    <x v="1"/>
  </r>
  <r>
    <s v="R01559"/>
    <x v="3"/>
    <n v="88"/>
    <x v="7"/>
    <n v="72678.53"/>
    <n v="72179.990000000005"/>
    <n v="31"/>
    <n v="25"/>
    <n v="13241.27"/>
    <n v="4173.91"/>
    <x v="1"/>
    <x v="1"/>
  </r>
  <r>
    <s v="R01249"/>
    <x v="3"/>
    <n v="33"/>
    <x v="7"/>
    <n v="28873.11"/>
    <n v="22422.47"/>
    <n v="30"/>
    <n v="48"/>
    <n v="27064.67"/>
    <n v="2260.44"/>
    <x v="0"/>
    <x v="1"/>
  </r>
  <r>
    <s v="R00308"/>
    <x v="0"/>
    <n v="41"/>
    <x v="7"/>
    <n v="30421.82"/>
    <n v="21815.22"/>
    <n v="21"/>
    <n v="57"/>
    <n v="46780.49"/>
    <n v="0"/>
    <x v="0"/>
    <x v="1"/>
  </r>
  <r>
    <s v="R00667"/>
    <x v="2"/>
    <n v="73"/>
    <x v="7"/>
    <n v="81238.28"/>
    <n v="69608.53"/>
    <n v="30"/>
    <n v="24"/>
    <n v="54867.41"/>
    <n v="0"/>
    <x v="1"/>
    <x v="1"/>
  </r>
  <r>
    <s v="R00043"/>
    <x v="3"/>
    <n v="36"/>
    <x v="7"/>
    <n v="37523.919999999998"/>
    <n v="29717.68"/>
    <n v="33"/>
    <n v="33"/>
    <n v="0"/>
    <n v="7806.25"/>
    <x v="0"/>
    <x v="1"/>
  </r>
  <r>
    <s v="R01413"/>
    <x v="3"/>
    <n v="117"/>
    <x v="7"/>
    <n v="78908.509999999995"/>
    <n v="81641.64"/>
    <n v="21"/>
    <n v="36"/>
    <n v="61355.73"/>
    <n v="7055.78"/>
    <x v="0"/>
    <x v="1"/>
  </r>
  <r>
    <s v="R00964"/>
    <x v="3"/>
    <n v="99"/>
    <x v="7"/>
    <n v="79722.5"/>
    <n v="75579.899999999994"/>
    <n v="65"/>
    <n v="66"/>
    <n v="59522.54"/>
    <n v="10191.49"/>
    <x v="0"/>
    <x v="1"/>
  </r>
  <r>
    <s v="R00683"/>
    <x v="5"/>
    <n v="80"/>
    <x v="7"/>
    <n v="68085.210000000006"/>
    <n v="57549.72"/>
    <n v="28"/>
    <n v="48"/>
    <n v="57646.09"/>
    <n v="3443.37"/>
    <x v="0"/>
    <x v="1"/>
  </r>
  <r>
    <s v="R00950"/>
    <x v="4"/>
    <n v="103"/>
    <x v="7"/>
    <n v="76450.509999999995"/>
    <n v="68357.600000000006"/>
    <n v="51"/>
    <n v="51"/>
    <n v="39520.71"/>
    <n v="9214.7099999999991"/>
    <x v="0"/>
    <x v="1"/>
  </r>
  <r>
    <s v="R00275"/>
    <x v="4"/>
    <n v="17"/>
    <x v="8"/>
    <n v="6913"/>
    <n v="6996.82"/>
    <n v="42"/>
    <n v="50"/>
    <n v="48963.58"/>
    <n v="4409.93"/>
    <x v="0"/>
    <x v="1"/>
  </r>
  <r>
    <s v="R00313"/>
    <x v="0"/>
    <n v="63"/>
    <x v="8"/>
    <n v="49775.1"/>
    <n v="38224.589999999997"/>
    <n v="30"/>
    <n v="38"/>
    <n v="19064.560000000001"/>
    <n v="4762.22"/>
    <x v="0"/>
    <x v="1"/>
  </r>
  <r>
    <s v="R00283"/>
    <x v="2"/>
    <n v="114"/>
    <x v="8"/>
    <n v="100794.69"/>
    <n v="84328.1"/>
    <n v="13"/>
    <n v="27"/>
    <n v="42451.040000000001"/>
    <n v="1350.64"/>
    <x v="0"/>
    <x v="1"/>
  </r>
  <r>
    <s v="R00311"/>
    <x v="0"/>
    <n v="93"/>
    <x v="8"/>
    <n v="66210.3"/>
    <n v="70402.19"/>
    <n v="55"/>
    <n v="22"/>
    <n v="21794.94"/>
    <n v="1516.24"/>
    <x v="0"/>
    <x v="1"/>
  </r>
  <r>
    <s v="R00393"/>
    <x v="4"/>
    <n v="120"/>
    <x v="8"/>
    <n v="78560.33"/>
    <n v="80667.89"/>
    <n v="28"/>
    <n v="47"/>
    <n v="0"/>
    <n v="0"/>
    <x v="0"/>
    <x v="1"/>
  </r>
  <r>
    <s v="R00343"/>
    <x v="4"/>
    <n v="50"/>
    <x v="8"/>
    <n v="48150.559999999998"/>
    <n v="29040.59"/>
    <n v="41"/>
    <n v="48"/>
    <n v="90293.05"/>
    <n v="0"/>
    <x v="0"/>
    <x v="1"/>
  </r>
  <r>
    <s v="R00271"/>
    <x v="5"/>
    <n v="89"/>
    <x v="8"/>
    <n v="88387.04"/>
    <n v="94303.55"/>
    <n v="23"/>
    <n v="47"/>
    <n v="22768.05"/>
    <n v="5713.06"/>
    <x v="0"/>
    <x v="1"/>
  </r>
  <r>
    <s v="R00356"/>
    <x v="1"/>
    <n v="22"/>
    <x v="8"/>
    <n v="38404.32"/>
    <n v="29741.63"/>
    <n v="49"/>
    <n v="55"/>
    <n v="49104.88"/>
    <n v="8032.58"/>
    <x v="0"/>
    <x v="1"/>
  </r>
  <r>
    <s v="R00304"/>
    <x v="2"/>
    <n v="3"/>
    <x v="8"/>
    <n v="4555.78"/>
    <n v="3947.35"/>
    <n v="67"/>
    <n v="44"/>
    <n v="4020.82"/>
    <n v="215.91"/>
    <x v="0"/>
    <x v="1"/>
  </r>
  <r>
    <s v="R00374"/>
    <x v="5"/>
    <n v="107"/>
    <x v="8"/>
    <n v="95372.07"/>
    <n v="76158.89"/>
    <n v="61"/>
    <n v="34"/>
    <n v="83877.899999999994"/>
    <n v="5093.3"/>
    <x v="0"/>
    <x v="1"/>
  </r>
  <r>
    <s v="R01554"/>
    <x v="1"/>
    <n v="84"/>
    <x v="8"/>
    <n v="77439.17"/>
    <n v="48347.839999999997"/>
    <n v="17"/>
    <n v="0"/>
    <n v="50627.34"/>
    <n v="1336.89"/>
    <x v="1"/>
    <x v="1"/>
  </r>
  <r>
    <s v="R00364"/>
    <x v="4"/>
    <n v="101"/>
    <x v="8"/>
    <n v="68096.38"/>
    <n v="43642.13"/>
    <n v="18"/>
    <n v="29"/>
    <n v="41299.96"/>
    <n v="0"/>
    <x v="1"/>
    <x v="1"/>
  </r>
  <r>
    <s v="R00722"/>
    <x v="3"/>
    <n v="18"/>
    <x v="8"/>
    <n v="18968.509999999998"/>
    <n v="16335.71"/>
    <n v="17"/>
    <n v="45"/>
    <n v="69878.95"/>
    <n v="0"/>
    <x v="1"/>
    <x v="1"/>
  </r>
  <r>
    <s v="R00427"/>
    <x v="1"/>
    <n v="104"/>
    <x v="8"/>
    <n v="93604.29"/>
    <n v="83293.73"/>
    <n v="37"/>
    <n v="17"/>
    <n v="55063.040000000001"/>
    <n v="5399.4"/>
    <x v="0"/>
    <x v="1"/>
  </r>
  <r>
    <s v="R00053"/>
    <x v="4"/>
    <n v="105"/>
    <x v="8"/>
    <n v="85626.3"/>
    <n v="86495.55"/>
    <n v="41"/>
    <n v="56"/>
    <n v="26083.48"/>
    <n v="2730.8"/>
    <x v="1"/>
    <x v="1"/>
  </r>
  <r>
    <s v="R01354"/>
    <x v="5"/>
    <n v="69"/>
    <x v="8"/>
    <n v="55650.98"/>
    <n v="43950.71"/>
    <n v="45"/>
    <n v="20"/>
    <n v="43791"/>
    <n v="5775.49"/>
    <x v="0"/>
    <x v="1"/>
  </r>
  <r>
    <s v="R01342"/>
    <x v="0"/>
    <n v="24"/>
    <x v="8"/>
    <n v="27201.71"/>
    <n v="24735.93"/>
    <n v="45"/>
    <n v="13"/>
    <n v="51963.77"/>
    <n v="0"/>
    <x v="1"/>
    <x v="1"/>
  </r>
  <r>
    <s v="R00813"/>
    <x v="3"/>
    <n v="52"/>
    <x v="8"/>
    <n v="44501.18"/>
    <n v="35012.86"/>
    <n v="45"/>
    <n v="46"/>
    <n v="73893.31"/>
    <n v="6139.31"/>
    <x v="1"/>
    <x v="1"/>
  </r>
  <r>
    <s v="R01326"/>
    <x v="5"/>
    <n v="97"/>
    <x v="8"/>
    <n v="77971.41"/>
    <n v="79096.649999999994"/>
    <n v="37"/>
    <n v="16"/>
    <n v="43506.49"/>
    <n v="2178.3200000000002"/>
    <x v="1"/>
    <x v="1"/>
  </r>
  <r>
    <s v="R00826"/>
    <x v="1"/>
    <n v="102"/>
    <x v="8"/>
    <n v="77676.44"/>
    <n v="54381.45"/>
    <n v="49"/>
    <n v="22"/>
    <n v="75173.350000000006"/>
    <n v="6384.6"/>
    <x v="0"/>
    <x v="1"/>
  </r>
  <r>
    <s v="R00830"/>
    <x v="3"/>
    <n v="15"/>
    <x v="8"/>
    <n v="21422.02"/>
    <n v="15156.2"/>
    <n v="46"/>
    <n v="35"/>
    <n v="49189.85"/>
    <n v="5326.04"/>
    <x v="0"/>
    <x v="1"/>
  </r>
  <r>
    <s v="R00836"/>
    <x v="5"/>
    <n v="71"/>
    <x v="8"/>
    <n v="56547.14"/>
    <n v="39242.83"/>
    <n v="43"/>
    <n v="29"/>
    <n v="51596.66"/>
    <n v="7031.7"/>
    <x v="0"/>
    <x v="1"/>
  </r>
  <r>
    <s v="R00854"/>
    <x v="3"/>
    <n v="95"/>
    <x v="8"/>
    <n v="81438.240000000005"/>
    <n v="69073.81"/>
    <n v="53"/>
    <n v="30"/>
    <n v="30589.98"/>
    <n v="1192.8900000000001"/>
    <x v="0"/>
    <x v="1"/>
  </r>
  <r>
    <s v="R01303"/>
    <x v="5"/>
    <n v="38"/>
    <x v="8"/>
    <n v="22659.95"/>
    <n v="19057.78"/>
    <n v="16"/>
    <n v="46"/>
    <n v="28696.48"/>
    <n v="9801.0400000000009"/>
    <x v="0"/>
    <x v="1"/>
  </r>
  <r>
    <s v="R00890"/>
    <x v="2"/>
    <n v="119"/>
    <x v="8"/>
    <n v="90411.49"/>
    <n v="62311.26"/>
    <n v="43"/>
    <n v="16"/>
    <n v="35387.78"/>
    <n v="204.73"/>
    <x v="0"/>
    <x v="1"/>
  </r>
  <r>
    <s v="R00903"/>
    <x v="0"/>
    <n v="94"/>
    <x v="8"/>
    <n v="84467.17"/>
    <n v="57289.18"/>
    <n v="31"/>
    <n v="36"/>
    <n v="35697.279999999999"/>
    <n v="3241.17"/>
    <x v="0"/>
    <x v="1"/>
  </r>
  <r>
    <s v="R00925"/>
    <x v="1"/>
    <n v="96"/>
    <x v="8"/>
    <n v="77694.89"/>
    <n v="62200.55"/>
    <n v="19"/>
    <n v="0"/>
    <n v="58962.09"/>
    <n v="600.84"/>
    <x v="0"/>
    <x v="1"/>
  </r>
  <r>
    <s v="R00142"/>
    <x v="5"/>
    <n v="109"/>
    <x v="8"/>
    <n v="82245.759999999995"/>
    <n v="65298.18"/>
    <n v="45"/>
    <n v="45"/>
    <n v="29359.01"/>
    <n v="11644.06"/>
    <x v="0"/>
    <x v="1"/>
  </r>
  <r>
    <s v="R00969"/>
    <x v="4"/>
    <n v="97"/>
    <x v="8"/>
    <n v="73879.28"/>
    <n v="77200.62"/>
    <n v="45"/>
    <n v="41"/>
    <n v="38003.480000000003"/>
    <n v="1553.72"/>
    <x v="1"/>
    <x v="1"/>
  </r>
  <r>
    <s v="R01238"/>
    <x v="0"/>
    <n v="51"/>
    <x v="8"/>
    <n v="47588.54"/>
    <n v="46306.49"/>
    <n v="49"/>
    <n v="54"/>
    <n v="70788.94"/>
    <n v="10836.99"/>
    <x v="1"/>
    <x v="1"/>
  </r>
  <r>
    <s v="R01228"/>
    <x v="0"/>
    <n v="55"/>
    <x v="8"/>
    <n v="49797.96"/>
    <n v="41441.61"/>
    <n v="45"/>
    <n v="12"/>
    <n v="48235.34"/>
    <n v="8540.08"/>
    <x v="0"/>
    <x v="1"/>
  </r>
  <r>
    <s v="R01027"/>
    <x v="5"/>
    <n v="106"/>
    <x v="8"/>
    <n v="91460.2"/>
    <n v="75118.37"/>
    <n v="42"/>
    <n v="24"/>
    <n v="57969.83"/>
    <n v="6836.54"/>
    <x v="0"/>
    <x v="1"/>
  </r>
  <r>
    <s v="R01043"/>
    <x v="2"/>
    <n v="104"/>
    <x v="8"/>
    <n v="80030.58"/>
    <n v="84250.3"/>
    <n v="32"/>
    <n v="22"/>
    <n v="20693.29"/>
    <n v="2903.31"/>
    <x v="0"/>
    <x v="1"/>
  </r>
  <r>
    <s v="R00114"/>
    <x v="1"/>
    <n v="4"/>
    <x v="8"/>
    <n v="4000"/>
    <n v="3998.96"/>
    <n v="43"/>
    <n v="16"/>
    <n v="63601.86"/>
    <n v="0"/>
    <x v="1"/>
    <x v="1"/>
  </r>
  <r>
    <s v="R01094"/>
    <x v="3"/>
    <n v="56"/>
    <x v="8"/>
    <n v="56594.02"/>
    <n v="59128.7"/>
    <n v="34"/>
    <n v="49"/>
    <n v="48765.88"/>
    <n v="5651.97"/>
    <x v="1"/>
    <x v="1"/>
  </r>
  <r>
    <s v="R01109"/>
    <x v="3"/>
    <n v="112"/>
    <x v="8"/>
    <n v="83763.02"/>
    <n v="81037.83"/>
    <n v="31"/>
    <n v="25"/>
    <n v="36034.6"/>
    <n v="10985.31"/>
    <x v="0"/>
    <x v="1"/>
  </r>
  <r>
    <s v="R01124"/>
    <x v="0"/>
    <n v="50"/>
    <x v="8"/>
    <n v="38905.74"/>
    <n v="41560.03"/>
    <n v="21"/>
    <n v="31"/>
    <n v="31755.64"/>
    <n v="4941.29"/>
    <x v="0"/>
    <x v="1"/>
  </r>
  <r>
    <s v="R01134"/>
    <x v="5"/>
    <n v="72"/>
    <x v="8"/>
    <n v="60315.16"/>
    <n v="51043"/>
    <n v="47"/>
    <n v="44"/>
    <n v="65400.01"/>
    <n v="2082.25"/>
    <x v="0"/>
    <x v="1"/>
  </r>
  <r>
    <s v="R01137"/>
    <x v="5"/>
    <n v="10"/>
    <x v="8"/>
    <n v="22463.01"/>
    <n v="24190.57"/>
    <n v="12"/>
    <n v="8"/>
    <n v="0"/>
    <n v="2736.11"/>
    <x v="0"/>
    <x v="1"/>
  </r>
  <r>
    <s v="R01147"/>
    <x v="5"/>
    <n v="62"/>
    <x v="8"/>
    <n v="41056.800000000003"/>
    <n v="32557.11"/>
    <n v="23"/>
    <n v="25"/>
    <n v="0"/>
    <n v="3316.8"/>
    <x v="0"/>
    <x v="1"/>
  </r>
  <r>
    <s v="R01150"/>
    <x v="1"/>
    <n v="18"/>
    <x v="8"/>
    <n v="25951.8"/>
    <n v="24543.57"/>
    <n v="35"/>
    <n v="26"/>
    <n v="109485.48"/>
    <n v="0"/>
    <x v="0"/>
    <x v="1"/>
  </r>
  <r>
    <s v="R01365"/>
    <x v="3"/>
    <n v="7"/>
    <x v="8"/>
    <n v="17293.25"/>
    <n v="10616.65"/>
    <n v="28"/>
    <n v="72"/>
    <n v="36397.39"/>
    <n v="659.39"/>
    <x v="0"/>
    <x v="1"/>
  </r>
  <r>
    <s v="R00262"/>
    <x v="4"/>
    <n v="15"/>
    <x v="8"/>
    <n v="29073.599999999999"/>
    <n v="22634.42"/>
    <n v="23"/>
    <n v="17"/>
    <n v="59254.44"/>
    <n v="0"/>
    <x v="0"/>
    <x v="1"/>
  </r>
  <r>
    <s v="R00745"/>
    <x v="0"/>
    <n v="86"/>
    <x v="8"/>
    <n v="63119.58"/>
    <n v="42683.41"/>
    <n v="51"/>
    <n v="7"/>
    <n v="31877.95"/>
    <n v="10921.45"/>
    <x v="0"/>
    <x v="1"/>
  </r>
  <r>
    <s v="R01383"/>
    <x v="5"/>
    <n v="87"/>
    <x v="8"/>
    <n v="86205.41"/>
    <n v="61523.29"/>
    <n v="62"/>
    <n v="33"/>
    <n v="3676.33"/>
    <n v="4188.37"/>
    <x v="0"/>
    <x v="1"/>
  </r>
  <r>
    <s v="R00256"/>
    <x v="4"/>
    <n v="66"/>
    <x v="8"/>
    <n v="65594.64"/>
    <n v="55001.85"/>
    <n v="47"/>
    <n v="27"/>
    <n v="26481.97"/>
    <n v="10622.6"/>
    <x v="0"/>
    <x v="1"/>
  </r>
  <r>
    <s v="R00252"/>
    <x v="3"/>
    <n v="89"/>
    <x v="8"/>
    <n v="95212.25"/>
    <n v="73207.03"/>
    <n v="44"/>
    <n v="54"/>
    <n v="22356.14"/>
    <n v="4536.6400000000003"/>
    <x v="0"/>
    <x v="1"/>
  </r>
  <r>
    <s v="R00468"/>
    <x v="0"/>
    <n v="89"/>
    <x v="8"/>
    <n v="68068.42"/>
    <n v="66766.53"/>
    <n v="43"/>
    <n v="0"/>
    <n v="54812.160000000003"/>
    <n v="7851.14"/>
    <x v="0"/>
    <x v="1"/>
  </r>
  <r>
    <s v="R00480"/>
    <x v="3"/>
    <n v="52"/>
    <x v="8"/>
    <n v="45064.72"/>
    <n v="33963.75"/>
    <n v="35"/>
    <n v="68"/>
    <n v="44233.81"/>
    <n v="0"/>
    <x v="0"/>
    <x v="1"/>
  </r>
  <r>
    <s v="R01504"/>
    <x v="1"/>
    <n v="108"/>
    <x v="8"/>
    <n v="97974.28"/>
    <n v="93636.54"/>
    <n v="23"/>
    <n v="20"/>
    <n v="36309.74"/>
    <n v="2326.71"/>
    <x v="0"/>
    <x v="1"/>
  </r>
  <r>
    <s v="R01503"/>
    <x v="2"/>
    <n v="77"/>
    <x v="8"/>
    <n v="83067.539999999994"/>
    <n v="52044.78"/>
    <n v="64"/>
    <n v="1"/>
    <n v="40241.43"/>
    <n v="0"/>
    <x v="0"/>
    <x v="1"/>
  </r>
  <r>
    <s v="R01494"/>
    <x v="5"/>
    <n v="104"/>
    <x v="8"/>
    <n v="74492.88"/>
    <n v="58162.37"/>
    <n v="18"/>
    <n v="0"/>
    <n v="11024.12"/>
    <n v="2676.19"/>
    <x v="0"/>
    <x v="1"/>
  </r>
  <r>
    <s v="R00542"/>
    <x v="4"/>
    <n v="59"/>
    <x v="8"/>
    <n v="47033.36"/>
    <n v="32834.699999999997"/>
    <n v="19"/>
    <n v="27"/>
    <n v="55298.38"/>
    <n v="1474.78"/>
    <x v="0"/>
    <x v="1"/>
  </r>
  <r>
    <s v="R00547"/>
    <x v="3"/>
    <n v="44"/>
    <x v="8"/>
    <n v="37349.01"/>
    <n v="21724.11"/>
    <n v="51"/>
    <n v="35"/>
    <n v="44408.959999999999"/>
    <n v="8583.74"/>
    <x v="0"/>
    <x v="1"/>
  </r>
  <r>
    <s v="R01475"/>
    <x v="0"/>
    <n v="6"/>
    <x v="8"/>
    <n v="21572.16"/>
    <n v="14468.2"/>
    <n v="19"/>
    <n v="48"/>
    <n v="42146.93"/>
    <n v="0"/>
    <x v="0"/>
    <x v="1"/>
  </r>
  <r>
    <s v="R01469"/>
    <x v="3"/>
    <n v="118"/>
    <x v="8"/>
    <n v="86619.22"/>
    <n v="71639.100000000006"/>
    <n v="38"/>
    <n v="48"/>
    <n v="0"/>
    <n v="2370.3200000000002"/>
    <x v="0"/>
    <x v="1"/>
  </r>
  <r>
    <s v="R00593"/>
    <x v="5"/>
    <n v="94"/>
    <x v="8"/>
    <n v="83641.81"/>
    <n v="69208.800000000003"/>
    <n v="32"/>
    <n v="30"/>
    <n v="53364.85"/>
    <n v="1918.08"/>
    <x v="0"/>
    <x v="1"/>
  </r>
  <r>
    <s v="R00602"/>
    <x v="0"/>
    <n v="3"/>
    <x v="8"/>
    <n v="10747.89"/>
    <n v="9668.0499999999993"/>
    <n v="27"/>
    <n v="31"/>
    <n v="2486.31"/>
    <n v="5651.33"/>
    <x v="0"/>
    <x v="1"/>
  </r>
  <r>
    <s v="R01451"/>
    <x v="4"/>
    <n v="86"/>
    <x v="8"/>
    <n v="76797.14"/>
    <n v="73211.03"/>
    <n v="42"/>
    <n v="20"/>
    <n v="56643.68"/>
    <n v="3717.68"/>
    <x v="0"/>
    <x v="1"/>
  </r>
  <r>
    <s v="R01443"/>
    <x v="0"/>
    <n v="80"/>
    <x v="8"/>
    <n v="58278.720000000001"/>
    <n v="36320.980000000003"/>
    <n v="58"/>
    <n v="39"/>
    <n v="39202.199999999997"/>
    <n v="10966.94"/>
    <x v="0"/>
    <x v="1"/>
  </r>
  <r>
    <s v="R00203"/>
    <x v="3"/>
    <n v="97"/>
    <x v="8"/>
    <n v="87411.72"/>
    <n v="88715.03"/>
    <n v="47"/>
    <n v="45"/>
    <n v="24566.959999999999"/>
    <n v="0"/>
    <x v="0"/>
    <x v="1"/>
  </r>
  <r>
    <s v="R01430"/>
    <x v="5"/>
    <n v="120"/>
    <x v="8"/>
    <n v="93945.21"/>
    <n v="69018.929999999993"/>
    <n v="35"/>
    <n v="5"/>
    <n v="41861.040000000001"/>
    <n v="2192.25"/>
    <x v="0"/>
    <x v="1"/>
  </r>
  <r>
    <s v="R01426"/>
    <x v="1"/>
    <n v="42"/>
    <x v="8"/>
    <n v="56846.76"/>
    <n v="41025.82"/>
    <n v="10"/>
    <n v="46"/>
    <n v="14104.98"/>
    <n v="2920.14"/>
    <x v="0"/>
    <x v="1"/>
  </r>
  <r>
    <s v="R00654"/>
    <x v="4"/>
    <n v="45"/>
    <x v="8"/>
    <n v="43225.86"/>
    <n v="30503.74"/>
    <n v="10"/>
    <n v="48"/>
    <n v="54841.79"/>
    <n v="8021.11"/>
    <x v="0"/>
    <x v="1"/>
  </r>
  <r>
    <s v="R00664"/>
    <x v="5"/>
    <n v="99"/>
    <x v="8"/>
    <n v="77964.399999999994"/>
    <n v="79698.41"/>
    <n v="18"/>
    <n v="35"/>
    <n v="2333.91"/>
    <n v="7624.67"/>
    <x v="0"/>
    <x v="1"/>
  </r>
  <r>
    <s v="R01421"/>
    <x v="1"/>
    <n v="75"/>
    <x v="8"/>
    <n v="63371.31"/>
    <n v="66277.31"/>
    <n v="45"/>
    <n v="66"/>
    <n v="27010.11"/>
    <n v="7103.29"/>
    <x v="0"/>
    <x v="1"/>
  </r>
  <r>
    <s v="R01407"/>
    <x v="5"/>
    <n v="81"/>
    <x v="8"/>
    <n v="62644.27"/>
    <n v="50544.69"/>
    <n v="26"/>
    <n v="16"/>
    <n v="34012.85"/>
    <n v="12367.31"/>
    <x v="0"/>
    <x v="1"/>
  </r>
  <r>
    <s v="R01405"/>
    <x v="3"/>
    <n v="46"/>
    <x v="8"/>
    <n v="37542.93"/>
    <n v="33273.81"/>
    <n v="24"/>
    <n v="20"/>
    <n v="37614.639999999999"/>
    <n v="0"/>
    <x v="0"/>
    <x v="1"/>
  </r>
  <r>
    <s v="R00693"/>
    <x v="1"/>
    <n v="49"/>
    <x v="8"/>
    <n v="39513.46"/>
    <n v="24898.080000000002"/>
    <n v="19"/>
    <n v="16"/>
    <n v="72994.259999999995"/>
    <n v="5206.72"/>
    <x v="0"/>
    <x v="1"/>
  </r>
  <r>
    <s v="R00699"/>
    <x v="0"/>
    <n v="99"/>
    <x v="8"/>
    <n v="80163.41"/>
    <n v="86150.45"/>
    <n v="37"/>
    <n v="34"/>
    <n v="19183.759999999998"/>
    <n v="0"/>
    <x v="0"/>
    <x v="1"/>
  </r>
  <r>
    <s v="R01389"/>
    <x v="4"/>
    <n v="9"/>
    <x v="8"/>
    <n v="13368.18"/>
    <n v="13253.8"/>
    <n v="32"/>
    <n v="16"/>
    <n v="26704.080000000002"/>
    <n v="4240.25"/>
    <x v="0"/>
    <x v="1"/>
  </r>
  <r>
    <s v="R00709"/>
    <x v="4"/>
    <n v="67"/>
    <x v="8"/>
    <n v="55396.55"/>
    <n v="42476.35"/>
    <n v="57"/>
    <n v="12"/>
    <n v="32263.06"/>
    <n v="4500.22"/>
    <x v="0"/>
    <x v="1"/>
  </r>
  <r>
    <s v="R01372"/>
    <x v="3"/>
    <n v="21"/>
    <x v="8"/>
    <n v="19606.240000000002"/>
    <n v="20543.97"/>
    <n v="51"/>
    <n v="19"/>
    <n v="11967.03"/>
    <n v="7869.71"/>
    <x v="0"/>
    <x v="1"/>
  </r>
  <r>
    <s v="R00800"/>
    <x v="2"/>
    <n v="105"/>
    <x v="8"/>
    <n v="87773.82"/>
    <n v="92604.19"/>
    <n v="41"/>
    <n v="16"/>
    <n v="42883.1"/>
    <n v="2312.9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7185C-844D-49F8-8638-269FDA3802B2}" name="Efficiency"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14" firstHeaderRow="0" firstDataRow="1" firstDataCol="1"/>
  <pivotFields count="12">
    <pivotField showAll="0"/>
    <pivotField showAll="0">
      <items count="7">
        <item x="2"/>
        <item x="1"/>
        <item x="4"/>
        <item x="3"/>
        <item x="0"/>
        <item x="5"/>
        <item t="default"/>
      </items>
    </pivotField>
    <pivotField showAll="0"/>
    <pivotField axis="axisRow" showAll="0">
      <items count="13">
        <item x="4"/>
        <item x="3"/>
        <item x="7"/>
        <item x="0"/>
        <item x="8"/>
        <item x="6"/>
        <item x="5"/>
        <item x="1"/>
        <item x="11"/>
        <item x="10"/>
        <item x="9"/>
        <item x="2"/>
        <item t="default"/>
      </items>
    </pivotField>
    <pivotField showAll="0"/>
    <pivotField showAll="0"/>
    <pivotField dataField="1" showAll="0"/>
    <pivotField dataField="1" showAll="0"/>
    <pivotField showAll="0"/>
    <pivotField showAll="0"/>
    <pivotField showAll="0"/>
    <pivotField showAll="0">
      <items count="3">
        <item x="0"/>
        <item x="1"/>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Average of accounts_receivable_days" fld="6" subtotal="average" baseField="3" baseItem="0"/>
    <dataField name="Average of inventory_days" fld="7"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5C63F-2ECF-4178-AB3E-D9EF3B4DF120}" name="Summary"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24" firstHeaderRow="0" firstDataRow="1" firstDataCol="1"/>
  <pivotFields count="12">
    <pivotField showAll="0"/>
    <pivotField showAll="0">
      <items count="7">
        <item x="2"/>
        <item x="1"/>
        <item x="4"/>
        <item x="3"/>
        <item x="0"/>
        <item x="5"/>
        <item t="default"/>
      </items>
    </pivotField>
    <pivotField showAll="0"/>
    <pivotField axis="axisRow" showAll="0">
      <items count="13">
        <item x="4"/>
        <item x="3"/>
        <item x="7"/>
        <item x="0"/>
        <item x="8"/>
        <item x="6"/>
        <item x="5"/>
        <item x="1"/>
        <item x="11"/>
        <item x="10"/>
        <item x="9"/>
        <item x="2"/>
        <item t="default"/>
      </items>
    </pivotField>
    <pivotField dataField="1" showAll="0"/>
    <pivotField dataField="1" showAll="0"/>
    <pivotField showAll="0"/>
    <pivotField showAll="0"/>
    <pivotField showAll="0"/>
    <pivotField showAll="0"/>
    <pivotField showAll="0"/>
    <pivotField axis="axisRow" showAll="0">
      <items count="3">
        <item x="0"/>
        <item x="1"/>
        <item t="default"/>
      </items>
    </pivotField>
  </pivotFields>
  <rowFields count="2">
    <field x="11"/>
    <field x="3"/>
  </rowFields>
  <rowItems count="23">
    <i>
      <x/>
    </i>
    <i r="1">
      <x/>
    </i>
    <i r="1">
      <x v="1"/>
    </i>
    <i r="1">
      <x v="2"/>
    </i>
    <i r="1">
      <x v="3"/>
    </i>
    <i r="1">
      <x v="4"/>
    </i>
    <i r="1">
      <x v="5"/>
    </i>
    <i r="1">
      <x v="6"/>
    </i>
    <i r="1">
      <x v="7"/>
    </i>
    <i r="1">
      <x v="8"/>
    </i>
    <i r="1">
      <x v="9"/>
    </i>
    <i r="1">
      <x v="10"/>
    </i>
    <i r="1">
      <x v="11"/>
    </i>
    <i>
      <x v="1"/>
    </i>
    <i r="1">
      <x/>
    </i>
    <i r="1">
      <x v="1"/>
    </i>
    <i r="1">
      <x v="2"/>
    </i>
    <i r="1">
      <x v="3"/>
    </i>
    <i r="1">
      <x v="4"/>
    </i>
    <i r="1">
      <x v="5"/>
    </i>
    <i r="1">
      <x v="6"/>
    </i>
    <i r="1">
      <x v="7"/>
    </i>
    <i t="grand">
      <x/>
    </i>
  </rowItems>
  <colFields count="1">
    <field x="-2"/>
  </colFields>
  <colItems count="2">
    <i>
      <x/>
    </i>
    <i i="1">
      <x v="1"/>
    </i>
  </colItems>
  <dataFields count="2">
    <dataField name="Sum of revenue_usd" fld="4" baseField="0" baseItem="0"/>
    <dataField name="Sum of opex_usd" fld="5"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4DFD6-85CA-48CF-9AE9-9CF68467447E}" name="Risk"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4" firstHeaderRow="1" firstDataRow="1" firstDataCol="1"/>
  <pivotFields count="12">
    <pivotField dataField="1" showAll="0"/>
    <pivotField showAll="0">
      <items count="7">
        <item x="2"/>
        <item x="1"/>
        <item x="4"/>
        <item x="3"/>
        <item x="0"/>
        <item x="5"/>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s>
  <rowFields count="1">
    <field x="10"/>
  </rowFields>
  <rowItems count="3">
    <i>
      <x/>
    </i>
    <i>
      <x v="1"/>
    </i>
    <i t="grand">
      <x/>
    </i>
  </rowItems>
  <colItems count="1">
    <i/>
  </colItems>
  <dataFields count="1">
    <dataField name="Count of recor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93102A-4058-4CE9-979C-930FFC98B2BF}" autoFormatId="16" applyNumberFormats="0" applyBorderFormats="0" applyFontFormats="0" applyPatternFormats="0" applyAlignmentFormats="0" applyWidthHeightFormats="0">
  <queryTableRefresh nextId="13">
    <queryTableFields count="12">
      <queryTableField id="1" name="record_id" tableColumnId="1"/>
      <queryTableField id="2" name="sector" tableColumnId="2"/>
      <queryTableField id="3" name="employees" tableColumnId="3"/>
      <queryTableField id="4" name="month" tableColumnId="4"/>
      <queryTableField id="5" name="revenue_usd" tableColumnId="5"/>
      <queryTableField id="6" name="opex_usd" tableColumnId="6"/>
      <queryTableField id="7" name="accounts_receivable_days" tableColumnId="7"/>
      <queryTableField id="8" name="inventory_days" tableColumnId="8"/>
      <queryTableField id="9" name="loan_balance_usd" tableColumnId="9"/>
      <queryTableField id="10" name="owner_injections_usd" tableColumnId="10"/>
      <queryTableField id="11" name="cashflow_stress_next_month" tableColumnId="11"/>
      <queryTableField id="12" name="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C0F4202-4150-4C29-9367-4C8A13996378}" sourceName="Year">
  <pivotTables>
    <pivotTable tabId="5" name="Efficiency"/>
    <pivotTable tabId="5" name="Risk"/>
    <pivotTable tabId="5" name="Summary"/>
  </pivotTables>
  <data>
    <tabular pivotCacheId="10159197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A3643F66-7BCC-4759-BC50-A5FBC30C049F}" sourceName="sector">
  <pivotTables>
    <pivotTable tabId="5" name="Efficiency"/>
    <pivotTable tabId="5" name="Risk"/>
    <pivotTable tabId="5" name="Summary"/>
  </pivotTables>
  <data>
    <tabular pivotCacheId="1015919786">
      <items count="6">
        <i x="2" s="1"/>
        <i x="1" s="1"/>
        <i x="4"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3ABC0DB-8355-4686-95F9-EEADC9F40397}" cache="Slicer_Year1" caption="Year" style="SlicerStyleOther1" lockedPosition="1" rowHeight="257175"/>
  <slicer name="sector" xr10:uid="{250332BB-4559-444D-8290-FA15A10E88AF}" cache="Slicer_sector" caption="Sector" columnCount="2" style="SlicerStyleOther1" lockedPosition="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4D69D2-8960-4468-9038-686AE19AF01E}" name="small_business_cashflow" displayName="small_business_cashflow" ref="A1:L1601" tableType="queryTable" totalsRowShown="0">
  <tableColumns count="12">
    <tableColumn id="1" xr3:uid="{CCE36054-0FD4-42F6-A6FE-C2D97AE07E2D}" uniqueName="1" name="record_id" queryTableFieldId="1" dataDxfId="2"/>
    <tableColumn id="2" xr3:uid="{8D82F3C4-4509-4233-B76B-ACDA6D785DCA}" uniqueName="2" name="sector" queryTableFieldId="2" dataDxfId="1"/>
    <tableColumn id="3" xr3:uid="{2B91F228-2F2C-4A67-993A-09BF0F232FCC}" uniqueName="3" name="employees" queryTableFieldId="3"/>
    <tableColumn id="4" xr3:uid="{97E60EB5-19A2-4FA6-B650-F7079C0D864C}" uniqueName="4" name="month" queryTableFieldId="4" dataDxfId="0"/>
    <tableColumn id="5" xr3:uid="{90287A25-6C35-4430-97B7-C1B74C7C230F}" uniqueName="5" name="revenue_usd" queryTableFieldId="5"/>
    <tableColumn id="6" xr3:uid="{543623AE-C5FD-4351-82BA-AF4FC6639C89}" uniqueName="6" name="opex_usd" queryTableFieldId="6"/>
    <tableColumn id="7" xr3:uid="{CF54A1DB-AC18-4B1B-BB69-3F83173563B1}" uniqueName="7" name="accounts_receivable_days" queryTableFieldId="7"/>
    <tableColumn id="8" xr3:uid="{565E0872-C604-46BB-8DC7-AD455D6CF33D}" uniqueName="8" name="inventory_days" queryTableFieldId="8"/>
    <tableColumn id="9" xr3:uid="{26724F6D-822A-40E9-800E-B501FD5CBD15}" uniqueName="9" name="loan_balance_usd" queryTableFieldId="9"/>
    <tableColumn id="10" xr3:uid="{66E48F40-5ADB-4871-B6D3-D3B02C91904F}" uniqueName="10" name="owner_injections_usd" queryTableFieldId="10"/>
    <tableColumn id="11" xr3:uid="{60EA8BAF-4403-403D-A734-F54E5C9A7C31}" uniqueName="11" name="cashflow_stress_next_month" queryTableFieldId="11"/>
    <tableColumn id="12" xr3:uid="{9942502C-55EE-4BC6-A95A-9D24D7FB23AF}" uniqueName="12" name="Year" queryTableFieldId="12"/>
  </tableColumns>
  <tableStyleInfo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F9CE-D9E7-40D4-958E-E8C4514C79AB}">
  <dimension ref="B2:H19"/>
  <sheetViews>
    <sheetView showGridLines="0" tabSelected="1" workbookViewId="0">
      <selection activeCell="C24" sqref="C24"/>
    </sheetView>
  </sheetViews>
  <sheetFormatPr defaultRowHeight="15" x14ac:dyDescent="0.25"/>
  <cols>
    <col min="2" max="2" width="45.5703125" customWidth="1"/>
    <col min="3" max="3" width="9.28515625" customWidth="1"/>
    <col min="4" max="4" width="38.7109375" customWidth="1"/>
    <col min="5" max="5" width="9" customWidth="1"/>
    <col min="6" max="6" width="38.140625" customWidth="1"/>
  </cols>
  <sheetData>
    <row r="2" spans="2:8" ht="24" x14ac:dyDescent="0.4">
      <c r="B2" s="5" t="s">
        <v>1644</v>
      </c>
    </row>
    <row r="3" spans="2:8" ht="24" x14ac:dyDescent="0.4">
      <c r="B3" s="5"/>
    </row>
    <row r="4" spans="2:8" ht="31.5" x14ac:dyDescent="0.5">
      <c r="B4" s="8">
        <f>GETPIVOTDATA("Sum of revenue_usd",Pivot_Calculations!$A$1)</f>
        <v>87591163.749999985</v>
      </c>
      <c r="C4" s="6"/>
      <c r="D4" s="10">
        <f>GETPIVOTDATA("Sum of opex_usd",Pivot_Calculations!$A$1)</f>
        <v>72310619</v>
      </c>
      <c r="E4" s="6"/>
      <c r="F4" s="11">
        <f>GETPIVOTDATA("Average of accounts_receivable_days",Pivot_Calculations!$E$1)</f>
        <v>38.540624999999999</v>
      </c>
      <c r="G4" s="6"/>
      <c r="H4" s="6"/>
    </row>
    <row r="5" spans="2:8" ht="18.75" x14ac:dyDescent="0.3">
      <c r="B5" s="9" t="s">
        <v>1645</v>
      </c>
      <c r="C5" s="7"/>
      <c r="D5" s="9" t="s">
        <v>1646</v>
      </c>
      <c r="E5" s="7"/>
      <c r="F5" s="9" t="s">
        <v>1647</v>
      </c>
      <c r="G5" s="6"/>
      <c r="H5" s="6"/>
    </row>
    <row r="19" spans="2:3" ht="21" x14ac:dyDescent="0.35">
      <c r="B19" s="13" t="s">
        <v>1648</v>
      </c>
      <c r="C19" s="12">
        <f>GETPIVOTDATA("record_id",Pivot_Calculations!$I$1,"cashflow_stress_next_month",1)</f>
        <v>274</v>
      </c>
    </row>
  </sheetData>
  <conditionalFormatting sqref="B4">
    <cfRule type="cellIs" dxfId="4" priority="2" operator="greaterThan">
      <formula>0</formula>
    </cfRule>
  </conditionalFormatting>
  <conditionalFormatting sqref="C19">
    <cfRule type="cellIs" dxfId="3" priority="1" operator="greater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0BF1-7745-412C-85E7-E0683D475E98}">
  <dimension ref="A1:L1601"/>
  <sheetViews>
    <sheetView workbookViewId="0">
      <selection activeCell="C24" sqref="C24"/>
    </sheetView>
  </sheetViews>
  <sheetFormatPr defaultRowHeight="15" x14ac:dyDescent="0.25"/>
  <cols>
    <col min="1" max="1" width="9.28515625" bestFit="1" customWidth="1"/>
    <col min="2" max="2" width="14" bestFit="1" customWidth="1"/>
    <col min="3" max="3" width="10.42578125" bestFit="1" customWidth="1"/>
    <col min="4" max="4" width="10.28515625" bestFit="1" customWidth="1"/>
    <col min="5" max="5" width="12" bestFit="1" customWidth="1"/>
    <col min="6" max="6" width="10" bestFit="1" customWidth="1"/>
    <col min="7" max="7" width="24.42578125" bestFit="1" customWidth="1"/>
    <col min="8" max="8" width="14.140625" bestFit="1" customWidth="1"/>
    <col min="9" max="9" width="17.42578125" bestFit="1" customWidth="1"/>
    <col min="10" max="10" width="20.42578125" bestFit="1" customWidth="1"/>
    <col min="11" max="11" width="26.7109375" bestFit="1" customWidth="1"/>
    <col min="12" max="12" width="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38</v>
      </c>
      <c r="B2" s="1" t="s">
        <v>12</v>
      </c>
      <c r="C2">
        <v>104</v>
      </c>
      <c r="D2" s="1" t="s">
        <v>13</v>
      </c>
      <c r="E2">
        <v>90420.800000000003</v>
      </c>
      <c r="F2">
        <v>68039.679999999993</v>
      </c>
      <c r="G2">
        <v>43</v>
      </c>
      <c r="H2">
        <v>44</v>
      </c>
      <c r="I2">
        <v>47793.36</v>
      </c>
      <c r="J2">
        <v>5013.2299999999996</v>
      </c>
      <c r="K2">
        <v>0</v>
      </c>
      <c r="L2">
        <v>2024</v>
      </c>
    </row>
    <row r="3" spans="1:12" x14ac:dyDescent="0.25">
      <c r="A3" s="1" t="s">
        <v>39</v>
      </c>
      <c r="B3" s="1" t="s">
        <v>14</v>
      </c>
      <c r="C3">
        <v>107</v>
      </c>
      <c r="D3" s="1" t="s">
        <v>13</v>
      </c>
      <c r="E3">
        <v>111521.58</v>
      </c>
      <c r="F3">
        <v>100874.68</v>
      </c>
      <c r="G3">
        <v>19</v>
      </c>
      <c r="H3">
        <v>16</v>
      </c>
      <c r="I3">
        <v>9022.42</v>
      </c>
      <c r="J3">
        <v>5036.3100000000004</v>
      </c>
      <c r="K3">
        <v>0</v>
      </c>
      <c r="L3">
        <v>2024</v>
      </c>
    </row>
    <row r="4" spans="1:12" x14ac:dyDescent="0.25">
      <c r="A4" s="1" t="s">
        <v>40</v>
      </c>
      <c r="B4" s="1" t="s">
        <v>15</v>
      </c>
      <c r="C4">
        <v>70</v>
      </c>
      <c r="D4" s="1" t="s">
        <v>13</v>
      </c>
      <c r="E4">
        <v>78726.66</v>
      </c>
      <c r="F4">
        <v>48203.79</v>
      </c>
      <c r="G4">
        <v>19</v>
      </c>
      <c r="H4">
        <v>0</v>
      </c>
      <c r="I4">
        <v>16066.84</v>
      </c>
      <c r="J4">
        <v>1669.03</v>
      </c>
      <c r="K4">
        <v>0</v>
      </c>
      <c r="L4">
        <v>2024</v>
      </c>
    </row>
    <row r="5" spans="1:12" x14ac:dyDescent="0.25">
      <c r="A5" s="1" t="s">
        <v>41</v>
      </c>
      <c r="B5" s="1" t="s">
        <v>15</v>
      </c>
      <c r="C5">
        <v>40</v>
      </c>
      <c r="D5" s="1" t="s">
        <v>13</v>
      </c>
      <c r="E5">
        <v>47063.01</v>
      </c>
      <c r="F5">
        <v>27954.89</v>
      </c>
      <c r="G5">
        <v>55</v>
      </c>
      <c r="H5">
        <v>40</v>
      </c>
      <c r="I5">
        <v>51978.13</v>
      </c>
      <c r="J5">
        <v>9549.67</v>
      </c>
      <c r="K5">
        <v>1</v>
      </c>
      <c r="L5">
        <v>2024</v>
      </c>
    </row>
    <row r="6" spans="1:12" x14ac:dyDescent="0.25">
      <c r="A6" s="1" t="s">
        <v>42</v>
      </c>
      <c r="B6" s="1" t="s">
        <v>12</v>
      </c>
      <c r="C6">
        <v>41</v>
      </c>
      <c r="D6" s="1" t="s">
        <v>13</v>
      </c>
      <c r="E6">
        <v>25458.86</v>
      </c>
      <c r="F6">
        <v>14963.47</v>
      </c>
      <c r="G6">
        <v>37</v>
      </c>
      <c r="H6">
        <v>4</v>
      </c>
      <c r="I6">
        <v>68949.850000000006</v>
      </c>
      <c r="J6">
        <v>0</v>
      </c>
      <c r="K6">
        <v>0</v>
      </c>
      <c r="L6">
        <v>2024</v>
      </c>
    </row>
    <row r="7" spans="1:12" x14ac:dyDescent="0.25">
      <c r="A7" s="1" t="s">
        <v>43</v>
      </c>
      <c r="B7" s="1" t="s">
        <v>16</v>
      </c>
      <c r="C7">
        <v>67</v>
      </c>
      <c r="D7" s="1" t="s">
        <v>13</v>
      </c>
      <c r="E7">
        <v>58254.17</v>
      </c>
      <c r="F7">
        <v>51733.52</v>
      </c>
      <c r="G7">
        <v>55</v>
      </c>
      <c r="H7">
        <v>47</v>
      </c>
      <c r="I7">
        <v>46780.83</v>
      </c>
      <c r="J7">
        <v>5090.34</v>
      </c>
      <c r="K7">
        <v>0</v>
      </c>
      <c r="L7">
        <v>2024</v>
      </c>
    </row>
    <row r="8" spans="1:12" x14ac:dyDescent="0.25">
      <c r="A8" s="1" t="s">
        <v>44</v>
      </c>
      <c r="B8" s="1" t="s">
        <v>16</v>
      </c>
      <c r="C8">
        <v>9</v>
      </c>
      <c r="D8" s="1" t="s">
        <v>13</v>
      </c>
      <c r="E8">
        <v>4000</v>
      </c>
      <c r="F8">
        <v>3751.06</v>
      </c>
      <c r="G8">
        <v>56</v>
      </c>
      <c r="H8">
        <v>15</v>
      </c>
      <c r="I8">
        <v>6003.55</v>
      </c>
      <c r="J8">
        <v>10515.52</v>
      </c>
      <c r="K8">
        <v>0</v>
      </c>
      <c r="L8">
        <v>2024</v>
      </c>
    </row>
    <row r="9" spans="1:12" x14ac:dyDescent="0.25">
      <c r="A9" s="1" t="s">
        <v>45</v>
      </c>
      <c r="B9" s="1" t="s">
        <v>15</v>
      </c>
      <c r="C9">
        <v>52</v>
      </c>
      <c r="D9" s="1" t="s">
        <v>13</v>
      </c>
      <c r="E9">
        <v>43465.01</v>
      </c>
      <c r="F9">
        <v>46503.67</v>
      </c>
      <c r="G9">
        <v>21</v>
      </c>
      <c r="H9">
        <v>14</v>
      </c>
      <c r="I9">
        <v>48757.69</v>
      </c>
      <c r="J9">
        <v>2765.84</v>
      </c>
      <c r="K9">
        <v>0</v>
      </c>
      <c r="L9">
        <v>2024</v>
      </c>
    </row>
    <row r="10" spans="1:12" x14ac:dyDescent="0.25">
      <c r="A10" s="1" t="s">
        <v>46</v>
      </c>
      <c r="B10" s="1" t="s">
        <v>14</v>
      </c>
      <c r="C10">
        <v>30</v>
      </c>
      <c r="D10" s="1" t="s">
        <v>13</v>
      </c>
      <c r="E10">
        <v>23371.72</v>
      </c>
      <c r="F10">
        <v>24690.63</v>
      </c>
      <c r="G10">
        <v>47</v>
      </c>
      <c r="H10">
        <v>0</v>
      </c>
      <c r="I10">
        <v>36458.949999999997</v>
      </c>
      <c r="J10">
        <v>4046.09</v>
      </c>
      <c r="K10">
        <v>0</v>
      </c>
      <c r="L10">
        <v>2024</v>
      </c>
    </row>
    <row r="11" spans="1:12" x14ac:dyDescent="0.25">
      <c r="A11" s="1" t="s">
        <v>47</v>
      </c>
      <c r="B11" s="1" t="s">
        <v>16</v>
      </c>
      <c r="C11">
        <v>38</v>
      </c>
      <c r="D11" s="1" t="s">
        <v>13</v>
      </c>
      <c r="E11">
        <v>41329.800000000003</v>
      </c>
      <c r="F11">
        <v>34818.9</v>
      </c>
      <c r="G11">
        <v>24</v>
      </c>
      <c r="H11">
        <v>0</v>
      </c>
      <c r="I11">
        <v>42276.34</v>
      </c>
      <c r="J11">
        <v>10853.28</v>
      </c>
      <c r="K11">
        <v>0</v>
      </c>
      <c r="L11">
        <v>2024</v>
      </c>
    </row>
    <row r="12" spans="1:12" x14ac:dyDescent="0.25">
      <c r="A12" s="1" t="s">
        <v>48</v>
      </c>
      <c r="B12" s="1" t="s">
        <v>16</v>
      </c>
      <c r="C12">
        <v>99</v>
      </c>
      <c r="D12" s="1" t="s">
        <v>13</v>
      </c>
      <c r="E12">
        <v>68303.97</v>
      </c>
      <c r="F12">
        <v>60986.64</v>
      </c>
      <c r="G12">
        <v>11</v>
      </c>
      <c r="H12">
        <v>37</v>
      </c>
      <c r="I12">
        <v>63373.71</v>
      </c>
      <c r="J12">
        <v>2850.51</v>
      </c>
      <c r="K12">
        <v>0</v>
      </c>
      <c r="L12">
        <v>2024</v>
      </c>
    </row>
    <row r="13" spans="1:12" x14ac:dyDescent="0.25">
      <c r="A13" s="1" t="s">
        <v>49</v>
      </c>
      <c r="B13" s="1" t="s">
        <v>17</v>
      </c>
      <c r="C13">
        <v>6</v>
      </c>
      <c r="D13" s="1" t="s">
        <v>13</v>
      </c>
      <c r="E13">
        <v>4872.12</v>
      </c>
      <c r="F13">
        <v>4683.1400000000003</v>
      </c>
      <c r="G13">
        <v>38</v>
      </c>
      <c r="H13">
        <v>20</v>
      </c>
      <c r="I13">
        <v>47813.279999999999</v>
      </c>
      <c r="J13">
        <v>1917.08</v>
      </c>
      <c r="K13">
        <v>0</v>
      </c>
      <c r="L13">
        <v>2024</v>
      </c>
    </row>
    <row r="14" spans="1:12" x14ac:dyDescent="0.25">
      <c r="A14" s="1" t="s">
        <v>50</v>
      </c>
      <c r="B14" s="1" t="s">
        <v>17</v>
      </c>
      <c r="C14">
        <v>77</v>
      </c>
      <c r="D14" s="1" t="s">
        <v>13</v>
      </c>
      <c r="E14">
        <v>64462.68</v>
      </c>
      <c r="F14">
        <v>57474.64</v>
      </c>
      <c r="G14">
        <v>15</v>
      </c>
      <c r="H14">
        <v>35</v>
      </c>
      <c r="I14">
        <v>0</v>
      </c>
      <c r="J14">
        <v>0</v>
      </c>
      <c r="K14">
        <v>1</v>
      </c>
      <c r="L14">
        <v>2024</v>
      </c>
    </row>
    <row r="15" spans="1:12" x14ac:dyDescent="0.25">
      <c r="A15" s="1" t="s">
        <v>51</v>
      </c>
      <c r="B15" s="1" t="s">
        <v>17</v>
      </c>
      <c r="C15">
        <v>22</v>
      </c>
      <c r="D15" s="1" t="s">
        <v>13</v>
      </c>
      <c r="E15">
        <v>24045.52</v>
      </c>
      <c r="F15">
        <v>20852.63</v>
      </c>
      <c r="G15">
        <v>43</v>
      </c>
      <c r="H15">
        <v>20</v>
      </c>
      <c r="I15">
        <v>25769.65</v>
      </c>
      <c r="J15">
        <v>2816.29</v>
      </c>
      <c r="K15">
        <v>0</v>
      </c>
      <c r="L15">
        <v>2024</v>
      </c>
    </row>
    <row r="16" spans="1:12" x14ac:dyDescent="0.25">
      <c r="A16" s="1" t="s">
        <v>52</v>
      </c>
      <c r="B16" s="1" t="s">
        <v>12</v>
      </c>
      <c r="C16">
        <v>5</v>
      </c>
      <c r="D16" s="1" t="s">
        <v>13</v>
      </c>
      <c r="E16">
        <v>14579.31</v>
      </c>
      <c r="F16">
        <v>15303.32</v>
      </c>
      <c r="G16">
        <v>76</v>
      </c>
      <c r="H16">
        <v>15</v>
      </c>
      <c r="I16">
        <v>65023.18</v>
      </c>
      <c r="J16">
        <v>12231.74</v>
      </c>
      <c r="K16">
        <v>0</v>
      </c>
      <c r="L16">
        <v>2024</v>
      </c>
    </row>
    <row r="17" spans="1:12" x14ac:dyDescent="0.25">
      <c r="A17" s="1" t="s">
        <v>53</v>
      </c>
      <c r="B17" s="1" t="s">
        <v>16</v>
      </c>
      <c r="C17">
        <v>82</v>
      </c>
      <c r="D17" s="1" t="s">
        <v>13</v>
      </c>
      <c r="E17">
        <v>79096.73</v>
      </c>
      <c r="F17">
        <v>47677.53</v>
      </c>
      <c r="G17">
        <v>24</v>
      </c>
      <c r="H17">
        <v>20</v>
      </c>
      <c r="I17">
        <v>18557.080000000002</v>
      </c>
      <c r="J17">
        <v>10113.83</v>
      </c>
      <c r="K17">
        <v>0</v>
      </c>
      <c r="L17">
        <v>2024</v>
      </c>
    </row>
    <row r="18" spans="1:12" x14ac:dyDescent="0.25">
      <c r="A18" s="1" t="s">
        <v>54</v>
      </c>
      <c r="B18" s="1" t="s">
        <v>15</v>
      </c>
      <c r="C18">
        <v>4</v>
      </c>
      <c r="D18" s="1" t="s">
        <v>13</v>
      </c>
      <c r="E18">
        <v>25606.27</v>
      </c>
      <c r="F18">
        <v>16420.78</v>
      </c>
      <c r="G18">
        <v>47</v>
      </c>
      <c r="H18">
        <v>33</v>
      </c>
      <c r="I18">
        <v>84764.05</v>
      </c>
      <c r="J18">
        <v>0</v>
      </c>
      <c r="K18">
        <v>0</v>
      </c>
      <c r="L18">
        <v>2024</v>
      </c>
    </row>
    <row r="19" spans="1:12" x14ac:dyDescent="0.25">
      <c r="A19" s="1" t="s">
        <v>55</v>
      </c>
      <c r="B19" s="1" t="s">
        <v>18</v>
      </c>
      <c r="C19">
        <v>107</v>
      </c>
      <c r="D19" s="1" t="s">
        <v>13</v>
      </c>
      <c r="E19">
        <v>101380.46</v>
      </c>
      <c r="F19">
        <v>95750.06</v>
      </c>
      <c r="G19">
        <v>41</v>
      </c>
      <c r="H19">
        <v>14</v>
      </c>
      <c r="I19">
        <v>33727.35</v>
      </c>
      <c r="J19">
        <v>6320.41</v>
      </c>
      <c r="K19">
        <v>1</v>
      </c>
      <c r="L19">
        <v>2024</v>
      </c>
    </row>
    <row r="20" spans="1:12" x14ac:dyDescent="0.25">
      <c r="A20" s="1" t="s">
        <v>56</v>
      </c>
      <c r="B20" s="1" t="s">
        <v>14</v>
      </c>
      <c r="C20">
        <v>10</v>
      </c>
      <c r="D20" s="1" t="s">
        <v>13</v>
      </c>
      <c r="E20">
        <v>4000</v>
      </c>
      <c r="F20">
        <v>3874.59</v>
      </c>
      <c r="G20">
        <v>43</v>
      </c>
      <c r="H20">
        <v>70</v>
      </c>
      <c r="I20">
        <v>49352.33</v>
      </c>
      <c r="J20">
        <v>1854.97</v>
      </c>
      <c r="K20">
        <v>0</v>
      </c>
      <c r="L20">
        <v>2024</v>
      </c>
    </row>
    <row r="21" spans="1:12" x14ac:dyDescent="0.25">
      <c r="A21" s="1" t="s">
        <v>57</v>
      </c>
      <c r="B21" s="1" t="s">
        <v>15</v>
      </c>
      <c r="C21">
        <v>101</v>
      </c>
      <c r="D21" s="1" t="s">
        <v>13</v>
      </c>
      <c r="E21">
        <v>67729.69</v>
      </c>
      <c r="F21">
        <v>39871.71</v>
      </c>
      <c r="G21">
        <v>10</v>
      </c>
      <c r="H21">
        <v>28</v>
      </c>
      <c r="I21">
        <v>9883.9699999999993</v>
      </c>
      <c r="J21">
        <v>198.84</v>
      </c>
      <c r="K21">
        <v>1</v>
      </c>
      <c r="L21">
        <v>2024</v>
      </c>
    </row>
    <row r="22" spans="1:12" x14ac:dyDescent="0.25">
      <c r="A22" s="1" t="s">
        <v>58</v>
      </c>
      <c r="B22" s="1" t="s">
        <v>18</v>
      </c>
      <c r="C22">
        <v>68</v>
      </c>
      <c r="D22" s="1" t="s">
        <v>13</v>
      </c>
      <c r="E22">
        <v>69788.88</v>
      </c>
      <c r="F22">
        <v>54071.53</v>
      </c>
      <c r="G22">
        <v>37</v>
      </c>
      <c r="H22">
        <v>31</v>
      </c>
      <c r="I22">
        <v>35473.599999999999</v>
      </c>
      <c r="J22">
        <v>11708.02</v>
      </c>
      <c r="K22">
        <v>0</v>
      </c>
      <c r="L22">
        <v>2024</v>
      </c>
    </row>
    <row r="23" spans="1:12" x14ac:dyDescent="0.25">
      <c r="A23" s="1" t="s">
        <v>59</v>
      </c>
      <c r="B23" s="1" t="s">
        <v>15</v>
      </c>
      <c r="C23">
        <v>17</v>
      </c>
      <c r="D23" s="1" t="s">
        <v>13</v>
      </c>
      <c r="E23">
        <v>22258.9</v>
      </c>
      <c r="F23">
        <v>22304.31</v>
      </c>
      <c r="G23">
        <v>30</v>
      </c>
      <c r="H23">
        <v>0</v>
      </c>
      <c r="I23">
        <v>19172.36</v>
      </c>
      <c r="J23">
        <v>189.49</v>
      </c>
      <c r="K23">
        <v>0</v>
      </c>
      <c r="L23">
        <v>2024</v>
      </c>
    </row>
    <row r="24" spans="1:12" x14ac:dyDescent="0.25">
      <c r="A24" s="1" t="s">
        <v>60</v>
      </c>
      <c r="B24" s="1" t="s">
        <v>12</v>
      </c>
      <c r="C24">
        <v>18</v>
      </c>
      <c r="D24" s="1" t="s">
        <v>13</v>
      </c>
      <c r="E24">
        <v>38160.25</v>
      </c>
      <c r="F24">
        <v>32931.599999999999</v>
      </c>
      <c r="G24">
        <v>35</v>
      </c>
      <c r="H24">
        <v>3</v>
      </c>
      <c r="I24">
        <v>46665.120000000003</v>
      </c>
      <c r="J24">
        <v>2314.9699999999998</v>
      </c>
      <c r="K24">
        <v>0</v>
      </c>
      <c r="L24">
        <v>2024</v>
      </c>
    </row>
    <row r="25" spans="1:12" x14ac:dyDescent="0.25">
      <c r="A25" s="1" t="s">
        <v>61</v>
      </c>
      <c r="B25" s="1" t="s">
        <v>16</v>
      </c>
      <c r="C25">
        <v>47</v>
      </c>
      <c r="D25" s="1" t="s">
        <v>13</v>
      </c>
      <c r="E25">
        <v>26187.759999999998</v>
      </c>
      <c r="F25">
        <v>15227.06</v>
      </c>
      <c r="G25">
        <v>19</v>
      </c>
      <c r="H25">
        <v>18</v>
      </c>
      <c r="I25">
        <v>92217.3</v>
      </c>
      <c r="J25">
        <v>4843.18</v>
      </c>
      <c r="K25">
        <v>0</v>
      </c>
      <c r="L25">
        <v>2024</v>
      </c>
    </row>
    <row r="26" spans="1:12" x14ac:dyDescent="0.25">
      <c r="A26" s="1" t="s">
        <v>62</v>
      </c>
      <c r="B26" s="1" t="s">
        <v>16</v>
      </c>
      <c r="C26">
        <v>6</v>
      </c>
      <c r="D26" s="1" t="s">
        <v>13</v>
      </c>
      <c r="E26">
        <v>22705.69</v>
      </c>
      <c r="F26">
        <v>23252.79</v>
      </c>
      <c r="G26">
        <v>63</v>
      </c>
      <c r="H26">
        <v>18</v>
      </c>
      <c r="I26">
        <v>41228.22</v>
      </c>
      <c r="J26">
        <v>0</v>
      </c>
      <c r="K26">
        <v>0</v>
      </c>
      <c r="L26">
        <v>2024</v>
      </c>
    </row>
    <row r="27" spans="1:12" x14ac:dyDescent="0.25">
      <c r="A27" s="1" t="s">
        <v>63</v>
      </c>
      <c r="B27" s="1" t="s">
        <v>16</v>
      </c>
      <c r="C27">
        <v>96</v>
      </c>
      <c r="D27" s="1" t="s">
        <v>13</v>
      </c>
      <c r="E27">
        <v>84848.320000000007</v>
      </c>
      <c r="F27">
        <v>56151.94</v>
      </c>
      <c r="G27">
        <v>62</v>
      </c>
      <c r="H27">
        <v>23</v>
      </c>
      <c r="I27">
        <v>70647.179999999993</v>
      </c>
      <c r="J27">
        <v>2312.0700000000002</v>
      </c>
      <c r="K27">
        <v>1</v>
      </c>
      <c r="L27">
        <v>2024</v>
      </c>
    </row>
    <row r="28" spans="1:12" x14ac:dyDescent="0.25">
      <c r="A28" s="1" t="s">
        <v>64</v>
      </c>
      <c r="B28" s="1" t="s">
        <v>16</v>
      </c>
      <c r="C28">
        <v>14</v>
      </c>
      <c r="D28" s="1" t="s">
        <v>13</v>
      </c>
      <c r="E28">
        <v>23890.87</v>
      </c>
      <c r="F28">
        <v>14046.29</v>
      </c>
      <c r="G28">
        <v>60</v>
      </c>
      <c r="H28">
        <v>34</v>
      </c>
      <c r="I28">
        <v>55887.25</v>
      </c>
      <c r="J28">
        <v>11146.08</v>
      </c>
      <c r="K28">
        <v>0</v>
      </c>
      <c r="L28">
        <v>2024</v>
      </c>
    </row>
    <row r="29" spans="1:12" x14ac:dyDescent="0.25">
      <c r="A29" s="1" t="s">
        <v>65</v>
      </c>
      <c r="B29" s="1" t="s">
        <v>14</v>
      </c>
      <c r="C29">
        <v>106</v>
      </c>
      <c r="D29" s="1" t="s">
        <v>13</v>
      </c>
      <c r="E29">
        <v>106933.55</v>
      </c>
      <c r="F29">
        <v>97249.81</v>
      </c>
      <c r="G29">
        <v>25</v>
      </c>
      <c r="H29">
        <v>41</v>
      </c>
      <c r="I29">
        <v>0</v>
      </c>
      <c r="J29">
        <v>0</v>
      </c>
      <c r="K29">
        <v>0</v>
      </c>
      <c r="L29">
        <v>2024</v>
      </c>
    </row>
    <row r="30" spans="1:12" x14ac:dyDescent="0.25">
      <c r="A30" s="1" t="s">
        <v>66</v>
      </c>
      <c r="B30" s="1" t="s">
        <v>16</v>
      </c>
      <c r="C30">
        <v>95</v>
      </c>
      <c r="D30" s="1" t="s">
        <v>13</v>
      </c>
      <c r="E30">
        <v>91194.09</v>
      </c>
      <c r="F30">
        <v>64953.83</v>
      </c>
      <c r="G30">
        <v>33</v>
      </c>
      <c r="H30">
        <v>14</v>
      </c>
      <c r="I30">
        <v>19381.599999999999</v>
      </c>
      <c r="J30">
        <v>3959.9</v>
      </c>
      <c r="K30">
        <v>0</v>
      </c>
      <c r="L30">
        <v>2024</v>
      </c>
    </row>
    <row r="31" spans="1:12" x14ac:dyDescent="0.25">
      <c r="A31" s="1" t="s">
        <v>67</v>
      </c>
      <c r="B31" s="1" t="s">
        <v>17</v>
      </c>
      <c r="C31">
        <v>100</v>
      </c>
      <c r="D31" s="1" t="s">
        <v>13</v>
      </c>
      <c r="E31">
        <v>80385.289999999994</v>
      </c>
      <c r="F31">
        <v>74210.14</v>
      </c>
      <c r="G31">
        <v>10</v>
      </c>
      <c r="H31">
        <v>4</v>
      </c>
      <c r="I31">
        <v>22790.33</v>
      </c>
      <c r="J31">
        <v>3804.44</v>
      </c>
      <c r="K31">
        <v>0</v>
      </c>
      <c r="L31">
        <v>2024</v>
      </c>
    </row>
    <row r="32" spans="1:12" x14ac:dyDescent="0.25">
      <c r="A32" s="1" t="s">
        <v>68</v>
      </c>
      <c r="B32" s="1" t="s">
        <v>14</v>
      </c>
      <c r="C32">
        <v>96</v>
      </c>
      <c r="D32" s="1" t="s">
        <v>13</v>
      </c>
      <c r="E32">
        <v>81291.94</v>
      </c>
      <c r="F32">
        <v>58046.37</v>
      </c>
      <c r="G32">
        <v>30</v>
      </c>
      <c r="H32">
        <v>21</v>
      </c>
      <c r="I32">
        <v>54153.3</v>
      </c>
      <c r="J32">
        <v>5540.6</v>
      </c>
      <c r="K32">
        <v>0</v>
      </c>
      <c r="L32">
        <v>2024</v>
      </c>
    </row>
    <row r="33" spans="1:12" x14ac:dyDescent="0.25">
      <c r="A33" s="1" t="s">
        <v>69</v>
      </c>
      <c r="B33" s="1" t="s">
        <v>15</v>
      </c>
      <c r="C33">
        <v>49</v>
      </c>
      <c r="D33" s="1" t="s">
        <v>13</v>
      </c>
      <c r="E33">
        <v>60357.18</v>
      </c>
      <c r="F33">
        <v>39368.22</v>
      </c>
      <c r="G33">
        <v>34</v>
      </c>
      <c r="H33">
        <v>27</v>
      </c>
      <c r="I33">
        <v>29160.79</v>
      </c>
      <c r="J33">
        <v>3985.91</v>
      </c>
      <c r="K33">
        <v>0</v>
      </c>
      <c r="L33">
        <v>2024</v>
      </c>
    </row>
    <row r="34" spans="1:12" x14ac:dyDescent="0.25">
      <c r="A34" s="1" t="s">
        <v>70</v>
      </c>
      <c r="B34" s="1" t="s">
        <v>18</v>
      </c>
      <c r="C34">
        <v>99</v>
      </c>
      <c r="D34" s="1" t="s">
        <v>13</v>
      </c>
      <c r="E34">
        <v>91756.03</v>
      </c>
      <c r="F34">
        <v>78481.81</v>
      </c>
      <c r="G34">
        <v>45</v>
      </c>
      <c r="H34">
        <v>13</v>
      </c>
      <c r="I34">
        <v>43418.22</v>
      </c>
      <c r="J34">
        <v>164.21</v>
      </c>
      <c r="K34">
        <v>0</v>
      </c>
      <c r="L34">
        <v>2024</v>
      </c>
    </row>
    <row r="35" spans="1:12" x14ac:dyDescent="0.25">
      <c r="A35" s="1" t="s">
        <v>71</v>
      </c>
      <c r="B35" s="1" t="s">
        <v>18</v>
      </c>
      <c r="C35">
        <v>114</v>
      </c>
      <c r="D35" s="1" t="s">
        <v>13</v>
      </c>
      <c r="E35">
        <v>105854.21</v>
      </c>
      <c r="F35">
        <v>65983.759999999995</v>
      </c>
      <c r="G35">
        <v>36</v>
      </c>
      <c r="H35">
        <v>30</v>
      </c>
      <c r="I35">
        <v>69650.44</v>
      </c>
      <c r="J35">
        <v>8112.22</v>
      </c>
      <c r="K35">
        <v>0</v>
      </c>
      <c r="L35">
        <v>2024</v>
      </c>
    </row>
    <row r="36" spans="1:12" x14ac:dyDescent="0.25">
      <c r="A36" s="1" t="s">
        <v>72</v>
      </c>
      <c r="B36" s="1" t="s">
        <v>17</v>
      </c>
      <c r="C36">
        <v>88</v>
      </c>
      <c r="D36" s="1" t="s">
        <v>13</v>
      </c>
      <c r="E36">
        <v>80698.78</v>
      </c>
      <c r="F36">
        <v>55464.85</v>
      </c>
      <c r="G36">
        <v>59</v>
      </c>
      <c r="H36">
        <v>37</v>
      </c>
      <c r="I36">
        <v>31554.26</v>
      </c>
      <c r="J36">
        <v>0</v>
      </c>
      <c r="K36">
        <v>0</v>
      </c>
      <c r="L36">
        <v>2024</v>
      </c>
    </row>
    <row r="37" spans="1:12" x14ac:dyDescent="0.25">
      <c r="A37" s="1" t="s">
        <v>73</v>
      </c>
      <c r="B37" s="1" t="s">
        <v>14</v>
      </c>
      <c r="C37">
        <v>89</v>
      </c>
      <c r="D37" s="1" t="s">
        <v>13</v>
      </c>
      <c r="E37">
        <v>75109.08</v>
      </c>
      <c r="F37">
        <v>47375.64</v>
      </c>
      <c r="G37">
        <v>71</v>
      </c>
      <c r="H37">
        <v>35</v>
      </c>
      <c r="I37">
        <v>16635.45</v>
      </c>
      <c r="J37">
        <v>7477.26</v>
      </c>
      <c r="K37">
        <v>0</v>
      </c>
      <c r="L37">
        <v>2024</v>
      </c>
    </row>
    <row r="38" spans="1:12" x14ac:dyDescent="0.25">
      <c r="A38" s="1" t="s">
        <v>74</v>
      </c>
      <c r="B38" s="1" t="s">
        <v>15</v>
      </c>
      <c r="C38">
        <v>19</v>
      </c>
      <c r="D38" s="1" t="s">
        <v>13</v>
      </c>
      <c r="E38">
        <v>22287.78</v>
      </c>
      <c r="F38">
        <v>16571.64</v>
      </c>
      <c r="G38">
        <v>64</v>
      </c>
      <c r="H38">
        <v>47</v>
      </c>
      <c r="I38">
        <v>20133.2</v>
      </c>
      <c r="J38">
        <v>9366.5499999999993</v>
      </c>
      <c r="K38">
        <v>0</v>
      </c>
      <c r="L38">
        <v>2024</v>
      </c>
    </row>
    <row r="39" spans="1:12" x14ac:dyDescent="0.25">
      <c r="A39" s="1" t="s">
        <v>75</v>
      </c>
      <c r="B39" s="1" t="s">
        <v>16</v>
      </c>
      <c r="C39">
        <v>35</v>
      </c>
      <c r="D39" s="1" t="s">
        <v>13</v>
      </c>
      <c r="E39">
        <v>40089.9</v>
      </c>
      <c r="F39">
        <v>41666.720000000001</v>
      </c>
      <c r="G39">
        <v>46</v>
      </c>
      <c r="H39">
        <v>25</v>
      </c>
      <c r="I39">
        <v>78910.19</v>
      </c>
      <c r="J39">
        <v>14004.21</v>
      </c>
      <c r="K39">
        <v>0</v>
      </c>
      <c r="L39">
        <v>2024</v>
      </c>
    </row>
    <row r="40" spans="1:12" x14ac:dyDescent="0.25">
      <c r="A40" s="1" t="s">
        <v>76</v>
      </c>
      <c r="B40" s="1" t="s">
        <v>17</v>
      </c>
      <c r="C40">
        <v>49</v>
      </c>
      <c r="D40" s="1" t="s">
        <v>13</v>
      </c>
      <c r="E40">
        <v>50332.78</v>
      </c>
      <c r="F40">
        <v>49146.52</v>
      </c>
      <c r="G40">
        <v>40</v>
      </c>
      <c r="H40">
        <v>26</v>
      </c>
      <c r="I40">
        <v>21376.45</v>
      </c>
      <c r="J40">
        <v>2595.67</v>
      </c>
      <c r="K40">
        <v>0</v>
      </c>
      <c r="L40">
        <v>2024</v>
      </c>
    </row>
    <row r="41" spans="1:12" x14ac:dyDescent="0.25">
      <c r="A41" s="1" t="s">
        <v>77</v>
      </c>
      <c r="B41" s="1" t="s">
        <v>15</v>
      </c>
      <c r="C41">
        <v>18</v>
      </c>
      <c r="D41" s="1" t="s">
        <v>13</v>
      </c>
      <c r="E41">
        <v>17471.68</v>
      </c>
      <c r="F41">
        <v>17660.57</v>
      </c>
      <c r="G41">
        <v>16</v>
      </c>
      <c r="H41">
        <v>34</v>
      </c>
      <c r="I41">
        <v>34940.22</v>
      </c>
      <c r="J41">
        <v>9724.89</v>
      </c>
      <c r="K41">
        <v>0</v>
      </c>
      <c r="L41">
        <v>2024</v>
      </c>
    </row>
    <row r="42" spans="1:12" x14ac:dyDescent="0.25">
      <c r="A42" s="1" t="s">
        <v>78</v>
      </c>
      <c r="B42" s="1" t="s">
        <v>15</v>
      </c>
      <c r="C42">
        <v>91</v>
      </c>
      <c r="D42" s="1" t="s">
        <v>13</v>
      </c>
      <c r="E42">
        <v>81768.45</v>
      </c>
      <c r="F42">
        <v>70359.23</v>
      </c>
      <c r="G42">
        <v>17</v>
      </c>
      <c r="H42">
        <v>26</v>
      </c>
      <c r="I42">
        <v>34115.339999999997</v>
      </c>
      <c r="J42">
        <v>5875.42</v>
      </c>
      <c r="K42">
        <v>0</v>
      </c>
      <c r="L42">
        <v>2024</v>
      </c>
    </row>
    <row r="43" spans="1:12" x14ac:dyDescent="0.25">
      <c r="A43" s="1" t="s">
        <v>79</v>
      </c>
      <c r="B43" s="1" t="s">
        <v>18</v>
      </c>
      <c r="C43">
        <v>11</v>
      </c>
      <c r="D43" s="1" t="s">
        <v>13</v>
      </c>
      <c r="E43">
        <v>8696.2800000000007</v>
      </c>
      <c r="F43">
        <v>6928.22</v>
      </c>
      <c r="G43">
        <v>28</v>
      </c>
      <c r="H43">
        <v>7</v>
      </c>
      <c r="I43">
        <v>79732.97</v>
      </c>
      <c r="J43">
        <v>4702.8599999999997</v>
      </c>
      <c r="K43">
        <v>1</v>
      </c>
      <c r="L43">
        <v>2024</v>
      </c>
    </row>
    <row r="44" spans="1:12" x14ac:dyDescent="0.25">
      <c r="A44" s="1" t="s">
        <v>80</v>
      </c>
      <c r="B44" s="1" t="s">
        <v>14</v>
      </c>
      <c r="C44">
        <v>8</v>
      </c>
      <c r="D44" s="1" t="s">
        <v>13</v>
      </c>
      <c r="E44">
        <v>21723.13</v>
      </c>
      <c r="F44">
        <v>21992.81</v>
      </c>
      <c r="G44">
        <v>24</v>
      </c>
      <c r="H44">
        <v>47</v>
      </c>
      <c r="I44">
        <v>0</v>
      </c>
      <c r="J44">
        <v>0</v>
      </c>
      <c r="K44">
        <v>0</v>
      </c>
      <c r="L44">
        <v>2024</v>
      </c>
    </row>
    <row r="45" spans="1:12" x14ac:dyDescent="0.25">
      <c r="A45" s="1" t="s">
        <v>81</v>
      </c>
      <c r="B45" s="1" t="s">
        <v>14</v>
      </c>
      <c r="C45">
        <v>80</v>
      </c>
      <c r="D45" s="1" t="s">
        <v>13</v>
      </c>
      <c r="E45">
        <v>67807.45</v>
      </c>
      <c r="F45">
        <v>59118</v>
      </c>
      <c r="G45">
        <v>34</v>
      </c>
      <c r="H45">
        <v>29</v>
      </c>
      <c r="I45">
        <v>24133.39</v>
      </c>
      <c r="J45">
        <v>0</v>
      </c>
      <c r="K45">
        <v>0</v>
      </c>
      <c r="L45">
        <v>2024</v>
      </c>
    </row>
    <row r="46" spans="1:12" x14ac:dyDescent="0.25">
      <c r="A46" s="1" t="s">
        <v>82</v>
      </c>
      <c r="B46" s="1" t="s">
        <v>15</v>
      </c>
      <c r="C46">
        <v>50</v>
      </c>
      <c r="D46" s="1" t="s">
        <v>13</v>
      </c>
      <c r="E46">
        <v>41171.5</v>
      </c>
      <c r="F46">
        <v>27788.21</v>
      </c>
      <c r="G46">
        <v>35</v>
      </c>
      <c r="H46">
        <v>49</v>
      </c>
      <c r="I46">
        <v>48520.55</v>
      </c>
      <c r="J46">
        <v>0</v>
      </c>
      <c r="K46">
        <v>1</v>
      </c>
      <c r="L46">
        <v>2024</v>
      </c>
    </row>
    <row r="47" spans="1:12" x14ac:dyDescent="0.25">
      <c r="A47" s="1" t="s">
        <v>83</v>
      </c>
      <c r="B47" s="1" t="s">
        <v>15</v>
      </c>
      <c r="C47">
        <v>118</v>
      </c>
      <c r="D47" s="1" t="s">
        <v>13</v>
      </c>
      <c r="E47">
        <v>109885.16</v>
      </c>
      <c r="F47">
        <v>113983.2</v>
      </c>
      <c r="G47">
        <v>40</v>
      </c>
      <c r="H47">
        <v>56</v>
      </c>
      <c r="I47">
        <v>43582.95</v>
      </c>
      <c r="J47">
        <v>0</v>
      </c>
      <c r="K47">
        <v>1</v>
      </c>
      <c r="L47">
        <v>2024</v>
      </c>
    </row>
    <row r="48" spans="1:12" x14ac:dyDescent="0.25">
      <c r="A48" s="1" t="s">
        <v>84</v>
      </c>
      <c r="B48" s="1" t="s">
        <v>12</v>
      </c>
      <c r="C48">
        <v>111</v>
      </c>
      <c r="D48" s="1" t="s">
        <v>13</v>
      </c>
      <c r="E48">
        <v>90619.89</v>
      </c>
      <c r="F48">
        <v>58701.24</v>
      </c>
      <c r="G48">
        <v>27</v>
      </c>
      <c r="H48">
        <v>2</v>
      </c>
      <c r="I48">
        <v>38321.07</v>
      </c>
      <c r="J48">
        <v>2914.51</v>
      </c>
      <c r="K48">
        <v>0</v>
      </c>
      <c r="L48">
        <v>2024</v>
      </c>
    </row>
    <row r="49" spans="1:12" x14ac:dyDescent="0.25">
      <c r="A49" s="1" t="s">
        <v>85</v>
      </c>
      <c r="B49" s="1" t="s">
        <v>12</v>
      </c>
      <c r="C49">
        <v>94</v>
      </c>
      <c r="D49" s="1" t="s">
        <v>13</v>
      </c>
      <c r="E49">
        <v>75348.679999999993</v>
      </c>
      <c r="F49">
        <v>74933.429999999993</v>
      </c>
      <c r="G49">
        <v>52</v>
      </c>
      <c r="H49">
        <v>42</v>
      </c>
      <c r="I49">
        <v>37636.04</v>
      </c>
      <c r="J49">
        <v>11940.24</v>
      </c>
      <c r="K49">
        <v>1</v>
      </c>
      <c r="L49">
        <v>2024</v>
      </c>
    </row>
    <row r="50" spans="1:12" x14ac:dyDescent="0.25">
      <c r="A50" s="1" t="s">
        <v>86</v>
      </c>
      <c r="B50" s="1" t="s">
        <v>14</v>
      </c>
      <c r="C50">
        <v>39</v>
      </c>
      <c r="D50" s="1" t="s">
        <v>13</v>
      </c>
      <c r="E50">
        <v>46782.69</v>
      </c>
      <c r="F50">
        <v>39914.42</v>
      </c>
      <c r="G50">
        <v>27</v>
      </c>
      <c r="H50">
        <v>22</v>
      </c>
      <c r="I50">
        <v>25258.47</v>
      </c>
      <c r="J50">
        <v>2114.9499999999998</v>
      </c>
      <c r="K50">
        <v>0</v>
      </c>
      <c r="L50">
        <v>2024</v>
      </c>
    </row>
    <row r="51" spans="1:12" x14ac:dyDescent="0.25">
      <c r="A51" s="1" t="s">
        <v>87</v>
      </c>
      <c r="B51" s="1" t="s">
        <v>15</v>
      </c>
      <c r="C51">
        <v>61</v>
      </c>
      <c r="D51" s="1" t="s">
        <v>13</v>
      </c>
      <c r="E51">
        <v>53906.81</v>
      </c>
      <c r="F51">
        <v>51686.44</v>
      </c>
      <c r="G51">
        <v>40</v>
      </c>
      <c r="H51">
        <v>3</v>
      </c>
      <c r="I51">
        <v>0</v>
      </c>
      <c r="J51">
        <v>0</v>
      </c>
      <c r="K51">
        <v>0</v>
      </c>
      <c r="L51">
        <v>2024</v>
      </c>
    </row>
    <row r="52" spans="1:12" x14ac:dyDescent="0.25">
      <c r="A52" s="1" t="s">
        <v>88</v>
      </c>
      <c r="B52" s="1" t="s">
        <v>14</v>
      </c>
      <c r="C52">
        <v>76</v>
      </c>
      <c r="D52" s="1" t="s">
        <v>13</v>
      </c>
      <c r="E52">
        <v>76005.009999999995</v>
      </c>
      <c r="F52">
        <v>44445.08</v>
      </c>
      <c r="G52">
        <v>56</v>
      </c>
      <c r="H52">
        <v>0</v>
      </c>
      <c r="I52">
        <v>21068.79</v>
      </c>
      <c r="J52">
        <v>6058.71</v>
      </c>
      <c r="K52">
        <v>0</v>
      </c>
      <c r="L52">
        <v>2024</v>
      </c>
    </row>
    <row r="53" spans="1:12" x14ac:dyDescent="0.25">
      <c r="A53" s="1" t="s">
        <v>89</v>
      </c>
      <c r="B53" s="1" t="s">
        <v>18</v>
      </c>
      <c r="C53">
        <v>20</v>
      </c>
      <c r="D53" s="1" t="s">
        <v>13</v>
      </c>
      <c r="E53">
        <v>19755.349999999999</v>
      </c>
      <c r="F53">
        <v>18806</v>
      </c>
      <c r="G53">
        <v>11</v>
      </c>
      <c r="H53">
        <v>25</v>
      </c>
      <c r="I53">
        <v>30045.83</v>
      </c>
      <c r="J53">
        <v>466.94</v>
      </c>
      <c r="K53">
        <v>0</v>
      </c>
      <c r="L53">
        <v>2024</v>
      </c>
    </row>
    <row r="54" spans="1:12" x14ac:dyDescent="0.25">
      <c r="A54" s="1" t="s">
        <v>90</v>
      </c>
      <c r="B54" s="1" t="s">
        <v>14</v>
      </c>
      <c r="C54">
        <v>104</v>
      </c>
      <c r="D54" s="1" t="s">
        <v>13</v>
      </c>
      <c r="E54">
        <v>94160.31</v>
      </c>
      <c r="F54">
        <v>62773.87</v>
      </c>
      <c r="G54">
        <v>21</v>
      </c>
      <c r="H54">
        <v>0</v>
      </c>
      <c r="I54">
        <v>46306.25</v>
      </c>
      <c r="J54">
        <v>7501.78</v>
      </c>
      <c r="K54">
        <v>0</v>
      </c>
      <c r="L54">
        <v>2024</v>
      </c>
    </row>
    <row r="55" spans="1:12" x14ac:dyDescent="0.25">
      <c r="A55" s="1" t="s">
        <v>91</v>
      </c>
      <c r="B55" s="1" t="s">
        <v>17</v>
      </c>
      <c r="C55">
        <v>52</v>
      </c>
      <c r="D55" s="1" t="s">
        <v>13</v>
      </c>
      <c r="E55">
        <v>44347.06</v>
      </c>
      <c r="F55">
        <v>47581.919999999998</v>
      </c>
      <c r="G55">
        <v>58</v>
      </c>
      <c r="H55">
        <v>35</v>
      </c>
      <c r="I55">
        <v>59779.02</v>
      </c>
      <c r="J55">
        <v>3895.97</v>
      </c>
      <c r="K55">
        <v>1</v>
      </c>
      <c r="L55">
        <v>2024</v>
      </c>
    </row>
    <row r="56" spans="1:12" x14ac:dyDescent="0.25">
      <c r="A56" s="1" t="s">
        <v>92</v>
      </c>
      <c r="B56" s="1" t="s">
        <v>12</v>
      </c>
      <c r="C56">
        <v>69</v>
      </c>
      <c r="D56" s="1" t="s">
        <v>13</v>
      </c>
      <c r="E56">
        <v>73563.33</v>
      </c>
      <c r="F56">
        <v>66807.56</v>
      </c>
      <c r="G56">
        <v>45</v>
      </c>
      <c r="H56">
        <v>41</v>
      </c>
      <c r="I56">
        <v>36106.61</v>
      </c>
      <c r="J56">
        <v>6376.22</v>
      </c>
      <c r="K56">
        <v>0</v>
      </c>
      <c r="L56">
        <v>2024</v>
      </c>
    </row>
    <row r="57" spans="1:12" x14ac:dyDescent="0.25">
      <c r="A57" s="1" t="s">
        <v>93</v>
      </c>
      <c r="B57" s="1" t="s">
        <v>14</v>
      </c>
      <c r="C57">
        <v>51</v>
      </c>
      <c r="D57" s="1" t="s">
        <v>13</v>
      </c>
      <c r="E57">
        <v>50352.56</v>
      </c>
      <c r="F57">
        <v>48257.48</v>
      </c>
      <c r="G57">
        <v>35</v>
      </c>
      <c r="H57">
        <v>12</v>
      </c>
      <c r="I57">
        <v>49291.040000000001</v>
      </c>
      <c r="J57">
        <v>2388.87</v>
      </c>
      <c r="K57">
        <v>0</v>
      </c>
      <c r="L57">
        <v>2024</v>
      </c>
    </row>
    <row r="58" spans="1:12" x14ac:dyDescent="0.25">
      <c r="A58" s="1" t="s">
        <v>94</v>
      </c>
      <c r="B58" s="1" t="s">
        <v>16</v>
      </c>
      <c r="C58">
        <v>47</v>
      </c>
      <c r="D58" s="1" t="s">
        <v>13</v>
      </c>
      <c r="E58">
        <v>32165.81</v>
      </c>
      <c r="F58">
        <v>23642.38</v>
      </c>
      <c r="G58">
        <v>17</v>
      </c>
      <c r="H58">
        <v>22</v>
      </c>
      <c r="I58">
        <v>45386.93</v>
      </c>
      <c r="J58">
        <v>5561.32</v>
      </c>
      <c r="K58">
        <v>0</v>
      </c>
      <c r="L58">
        <v>2024</v>
      </c>
    </row>
    <row r="59" spans="1:12" x14ac:dyDescent="0.25">
      <c r="A59" s="1" t="s">
        <v>95</v>
      </c>
      <c r="B59" s="1" t="s">
        <v>15</v>
      </c>
      <c r="C59">
        <v>9</v>
      </c>
      <c r="D59" s="1" t="s">
        <v>13</v>
      </c>
      <c r="E59">
        <v>4000</v>
      </c>
      <c r="F59">
        <v>3693.7</v>
      </c>
      <c r="G59">
        <v>19</v>
      </c>
      <c r="H59">
        <v>62</v>
      </c>
      <c r="I59">
        <v>56737</v>
      </c>
      <c r="J59">
        <v>0</v>
      </c>
      <c r="K59">
        <v>0</v>
      </c>
      <c r="L59">
        <v>2024</v>
      </c>
    </row>
    <row r="60" spans="1:12" x14ac:dyDescent="0.25">
      <c r="A60" s="1" t="s">
        <v>96</v>
      </c>
      <c r="B60" s="1" t="s">
        <v>18</v>
      </c>
      <c r="C60">
        <v>118</v>
      </c>
      <c r="D60" s="1" t="s">
        <v>13</v>
      </c>
      <c r="E60">
        <v>98564.66</v>
      </c>
      <c r="F60">
        <v>101307.77</v>
      </c>
      <c r="G60">
        <v>15</v>
      </c>
      <c r="H60">
        <v>20</v>
      </c>
      <c r="I60">
        <v>64461.02</v>
      </c>
      <c r="J60">
        <v>5255.54</v>
      </c>
      <c r="K60">
        <v>1</v>
      </c>
      <c r="L60">
        <v>2024</v>
      </c>
    </row>
    <row r="61" spans="1:12" x14ac:dyDescent="0.25">
      <c r="A61" s="1" t="s">
        <v>97</v>
      </c>
      <c r="B61" s="1" t="s">
        <v>18</v>
      </c>
      <c r="C61">
        <v>109</v>
      </c>
      <c r="D61" s="1" t="s">
        <v>13</v>
      </c>
      <c r="E61">
        <v>91034.12</v>
      </c>
      <c r="F61">
        <v>80923.360000000001</v>
      </c>
      <c r="G61">
        <v>10</v>
      </c>
      <c r="H61">
        <v>30</v>
      </c>
      <c r="I61">
        <v>6762.31</v>
      </c>
      <c r="J61">
        <v>3208.29</v>
      </c>
      <c r="K61">
        <v>1</v>
      </c>
      <c r="L61">
        <v>2024</v>
      </c>
    </row>
    <row r="62" spans="1:12" x14ac:dyDescent="0.25">
      <c r="A62" s="1" t="s">
        <v>98</v>
      </c>
      <c r="B62" s="1" t="s">
        <v>12</v>
      </c>
      <c r="C62">
        <v>55</v>
      </c>
      <c r="D62" s="1" t="s">
        <v>13</v>
      </c>
      <c r="E62">
        <v>48671.16</v>
      </c>
      <c r="F62">
        <v>30998.45</v>
      </c>
      <c r="G62">
        <v>12</v>
      </c>
      <c r="H62">
        <v>26</v>
      </c>
      <c r="I62">
        <v>51100.4</v>
      </c>
      <c r="J62">
        <v>0</v>
      </c>
      <c r="K62">
        <v>1</v>
      </c>
      <c r="L62">
        <v>2024</v>
      </c>
    </row>
    <row r="63" spans="1:12" x14ac:dyDescent="0.25">
      <c r="A63" s="1" t="s">
        <v>99</v>
      </c>
      <c r="B63" s="1" t="s">
        <v>12</v>
      </c>
      <c r="C63">
        <v>42</v>
      </c>
      <c r="D63" s="1" t="s">
        <v>13</v>
      </c>
      <c r="E63">
        <v>40483.24</v>
      </c>
      <c r="F63">
        <v>29162.26</v>
      </c>
      <c r="G63">
        <v>60</v>
      </c>
      <c r="H63">
        <v>27</v>
      </c>
      <c r="I63">
        <v>20443.47</v>
      </c>
      <c r="J63">
        <v>0</v>
      </c>
      <c r="K63">
        <v>1</v>
      </c>
      <c r="L63">
        <v>2024</v>
      </c>
    </row>
    <row r="64" spans="1:12" x14ac:dyDescent="0.25">
      <c r="A64" s="1" t="s">
        <v>100</v>
      </c>
      <c r="B64" s="1" t="s">
        <v>18</v>
      </c>
      <c r="C64">
        <v>21</v>
      </c>
      <c r="D64" s="1" t="s">
        <v>13</v>
      </c>
      <c r="E64">
        <v>16008.01</v>
      </c>
      <c r="F64">
        <v>12997.31</v>
      </c>
      <c r="G64">
        <v>40</v>
      </c>
      <c r="H64">
        <v>37</v>
      </c>
      <c r="I64">
        <v>27113.33</v>
      </c>
      <c r="J64">
        <v>14494.63</v>
      </c>
      <c r="K64">
        <v>0</v>
      </c>
      <c r="L64">
        <v>2024</v>
      </c>
    </row>
    <row r="65" spans="1:12" x14ac:dyDescent="0.25">
      <c r="A65" s="1" t="s">
        <v>101</v>
      </c>
      <c r="B65" s="1" t="s">
        <v>18</v>
      </c>
      <c r="C65">
        <v>31</v>
      </c>
      <c r="D65" s="1" t="s">
        <v>13</v>
      </c>
      <c r="E65">
        <v>40889.64</v>
      </c>
      <c r="F65">
        <v>43771.08</v>
      </c>
      <c r="G65">
        <v>27</v>
      </c>
      <c r="H65">
        <v>43</v>
      </c>
      <c r="I65">
        <v>39780.93</v>
      </c>
      <c r="J65">
        <v>10001.57</v>
      </c>
      <c r="K65">
        <v>0</v>
      </c>
      <c r="L65">
        <v>2024</v>
      </c>
    </row>
    <row r="66" spans="1:12" x14ac:dyDescent="0.25">
      <c r="A66" s="1" t="s">
        <v>19</v>
      </c>
      <c r="B66" s="1" t="s">
        <v>18</v>
      </c>
      <c r="C66">
        <v>107</v>
      </c>
      <c r="D66" s="1" t="s">
        <v>13</v>
      </c>
      <c r="E66">
        <v>79558.649999999994</v>
      </c>
      <c r="F66">
        <v>60416.72</v>
      </c>
      <c r="G66">
        <v>31</v>
      </c>
      <c r="H66">
        <v>48</v>
      </c>
      <c r="I66">
        <v>58377.79</v>
      </c>
      <c r="J66">
        <v>0</v>
      </c>
      <c r="K66">
        <v>1</v>
      </c>
      <c r="L66">
        <v>2024</v>
      </c>
    </row>
    <row r="67" spans="1:12" x14ac:dyDescent="0.25">
      <c r="A67" s="1" t="s">
        <v>102</v>
      </c>
      <c r="B67" s="1" t="s">
        <v>16</v>
      </c>
      <c r="C67">
        <v>51</v>
      </c>
      <c r="D67" s="1" t="s">
        <v>13</v>
      </c>
      <c r="E67">
        <v>34442.53</v>
      </c>
      <c r="F67">
        <v>26597.54</v>
      </c>
      <c r="G67">
        <v>40</v>
      </c>
      <c r="H67">
        <v>24</v>
      </c>
      <c r="I67">
        <v>0</v>
      </c>
      <c r="J67">
        <v>441.3</v>
      </c>
      <c r="K67">
        <v>0</v>
      </c>
      <c r="L67">
        <v>2024</v>
      </c>
    </row>
    <row r="68" spans="1:12" x14ac:dyDescent="0.25">
      <c r="A68" s="1" t="s">
        <v>103</v>
      </c>
      <c r="B68" s="1" t="s">
        <v>14</v>
      </c>
      <c r="C68">
        <v>58</v>
      </c>
      <c r="D68" s="1" t="s">
        <v>13</v>
      </c>
      <c r="E68">
        <v>52674.61</v>
      </c>
      <c r="F68">
        <v>40016.93</v>
      </c>
      <c r="G68">
        <v>45</v>
      </c>
      <c r="H68">
        <v>20</v>
      </c>
      <c r="I68">
        <v>20544.27</v>
      </c>
      <c r="J68">
        <v>0</v>
      </c>
      <c r="K68">
        <v>0</v>
      </c>
      <c r="L68">
        <v>2024</v>
      </c>
    </row>
    <row r="69" spans="1:12" x14ac:dyDescent="0.25">
      <c r="A69" s="1" t="s">
        <v>104</v>
      </c>
      <c r="B69" s="1" t="s">
        <v>15</v>
      </c>
      <c r="C69">
        <v>65</v>
      </c>
      <c r="D69" s="1" t="s">
        <v>13</v>
      </c>
      <c r="E69">
        <v>45091.65</v>
      </c>
      <c r="F69">
        <v>35529.300000000003</v>
      </c>
      <c r="G69">
        <v>54</v>
      </c>
      <c r="H69">
        <v>13</v>
      </c>
      <c r="I69">
        <v>44546.11</v>
      </c>
      <c r="J69">
        <v>0</v>
      </c>
      <c r="K69">
        <v>0</v>
      </c>
      <c r="L69">
        <v>2024</v>
      </c>
    </row>
    <row r="70" spans="1:12" x14ac:dyDescent="0.25">
      <c r="A70" s="1" t="s">
        <v>105</v>
      </c>
      <c r="B70" s="1" t="s">
        <v>16</v>
      </c>
      <c r="C70">
        <v>109</v>
      </c>
      <c r="D70" s="1" t="s">
        <v>13</v>
      </c>
      <c r="E70">
        <v>100251.65</v>
      </c>
      <c r="F70">
        <v>72482.37</v>
      </c>
      <c r="G70">
        <v>13</v>
      </c>
      <c r="H70">
        <v>35</v>
      </c>
      <c r="I70">
        <v>23506.560000000001</v>
      </c>
      <c r="J70">
        <v>6033.52</v>
      </c>
      <c r="K70">
        <v>0</v>
      </c>
      <c r="L70">
        <v>2024</v>
      </c>
    </row>
    <row r="71" spans="1:12" x14ac:dyDescent="0.25">
      <c r="A71" s="1" t="s">
        <v>106</v>
      </c>
      <c r="B71" s="1" t="s">
        <v>16</v>
      </c>
      <c r="C71">
        <v>113</v>
      </c>
      <c r="D71" s="1" t="s">
        <v>13</v>
      </c>
      <c r="E71">
        <v>102009.67</v>
      </c>
      <c r="F71">
        <v>65931.17</v>
      </c>
      <c r="G71">
        <v>67</v>
      </c>
      <c r="H71">
        <v>41</v>
      </c>
      <c r="I71">
        <v>39822.959999999999</v>
      </c>
      <c r="J71">
        <v>15072.13</v>
      </c>
      <c r="K71">
        <v>0</v>
      </c>
      <c r="L71">
        <v>2024</v>
      </c>
    </row>
    <row r="72" spans="1:12" x14ac:dyDescent="0.25">
      <c r="A72" s="1" t="s">
        <v>107</v>
      </c>
      <c r="B72" s="1" t="s">
        <v>16</v>
      </c>
      <c r="C72">
        <v>21</v>
      </c>
      <c r="D72" s="1" t="s">
        <v>13</v>
      </c>
      <c r="E72">
        <v>12877.27</v>
      </c>
      <c r="F72">
        <v>9744.35</v>
      </c>
      <c r="G72">
        <v>30</v>
      </c>
      <c r="H72">
        <v>19</v>
      </c>
      <c r="I72">
        <v>32193.63</v>
      </c>
      <c r="J72">
        <v>4869.55</v>
      </c>
      <c r="K72">
        <v>0</v>
      </c>
      <c r="L72">
        <v>2024</v>
      </c>
    </row>
    <row r="73" spans="1:12" x14ac:dyDescent="0.25">
      <c r="A73" s="1" t="s">
        <v>108</v>
      </c>
      <c r="B73" s="1" t="s">
        <v>14</v>
      </c>
      <c r="C73">
        <v>110</v>
      </c>
      <c r="D73" s="1" t="s">
        <v>13</v>
      </c>
      <c r="E73">
        <v>66281.320000000007</v>
      </c>
      <c r="F73">
        <v>40277.57</v>
      </c>
      <c r="G73">
        <v>55</v>
      </c>
      <c r="H73">
        <v>26</v>
      </c>
      <c r="I73">
        <v>46848.42</v>
      </c>
      <c r="J73">
        <v>0</v>
      </c>
      <c r="K73">
        <v>0</v>
      </c>
      <c r="L73">
        <v>2024</v>
      </c>
    </row>
    <row r="74" spans="1:12" x14ac:dyDescent="0.25">
      <c r="A74" s="1" t="s">
        <v>109</v>
      </c>
      <c r="B74" s="1" t="s">
        <v>16</v>
      </c>
      <c r="C74">
        <v>69</v>
      </c>
      <c r="D74" s="1" t="s">
        <v>13</v>
      </c>
      <c r="E74">
        <v>58774.8</v>
      </c>
      <c r="F74">
        <v>34849.800000000003</v>
      </c>
      <c r="G74">
        <v>57</v>
      </c>
      <c r="H74">
        <v>21</v>
      </c>
      <c r="I74">
        <v>28050.880000000001</v>
      </c>
      <c r="J74">
        <v>5039.6099999999997</v>
      </c>
      <c r="K74">
        <v>0</v>
      </c>
      <c r="L74">
        <v>2024</v>
      </c>
    </row>
    <row r="75" spans="1:12" x14ac:dyDescent="0.25">
      <c r="A75" s="1" t="s">
        <v>110</v>
      </c>
      <c r="B75" s="1" t="s">
        <v>12</v>
      </c>
      <c r="C75">
        <v>27</v>
      </c>
      <c r="D75" s="1" t="s">
        <v>13</v>
      </c>
      <c r="E75">
        <v>28123.07</v>
      </c>
      <c r="F75">
        <v>26462.41</v>
      </c>
      <c r="G75">
        <v>46</v>
      </c>
      <c r="H75">
        <v>12</v>
      </c>
      <c r="I75">
        <v>58920.4</v>
      </c>
      <c r="J75">
        <v>9065.34</v>
      </c>
      <c r="K75">
        <v>0</v>
      </c>
      <c r="L75">
        <v>2024</v>
      </c>
    </row>
    <row r="76" spans="1:12" x14ac:dyDescent="0.25">
      <c r="A76" s="1" t="s">
        <v>111</v>
      </c>
      <c r="B76" s="1" t="s">
        <v>16</v>
      </c>
      <c r="C76">
        <v>21</v>
      </c>
      <c r="D76" s="1" t="s">
        <v>13</v>
      </c>
      <c r="E76">
        <v>36404.300000000003</v>
      </c>
      <c r="F76">
        <v>37627.46</v>
      </c>
      <c r="G76">
        <v>41</v>
      </c>
      <c r="H76">
        <v>60</v>
      </c>
      <c r="I76">
        <v>10910.06</v>
      </c>
      <c r="J76">
        <v>0</v>
      </c>
      <c r="K76">
        <v>0</v>
      </c>
      <c r="L76">
        <v>2024</v>
      </c>
    </row>
    <row r="77" spans="1:12" x14ac:dyDescent="0.25">
      <c r="A77" s="1" t="s">
        <v>112</v>
      </c>
      <c r="B77" s="1" t="s">
        <v>18</v>
      </c>
      <c r="C77">
        <v>86</v>
      </c>
      <c r="D77" s="1" t="s">
        <v>13</v>
      </c>
      <c r="E77">
        <v>68503.929999999993</v>
      </c>
      <c r="F77">
        <v>43191.75</v>
      </c>
      <c r="G77">
        <v>24</v>
      </c>
      <c r="H77">
        <v>54</v>
      </c>
      <c r="I77">
        <v>66889.509999999995</v>
      </c>
      <c r="J77">
        <v>0</v>
      </c>
      <c r="K77">
        <v>0</v>
      </c>
      <c r="L77">
        <v>2024</v>
      </c>
    </row>
    <row r="78" spans="1:12" x14ac:dyDescent="0.25">
      <c r="A78" s="1" t="s">
        <v>113</v>
      </c>
      <c r="B78" s="1" t="s">
        <v>12</v>
      </c>
      <c r="C78">
        <v>17</v>
      </c>
      <c r="D78" s="1" t="s">
        <v>13</v>
      </c>
      <c r="E78">
        <v>17990.38</v>
      </c>
      <c r="F78">
        <v>13380.44</v>
      </c>
      <c r="G78">
        <v>40</v>
      </c>
      <c r="H78">
        <v>21</v>
      </c>
      <c r="I78">
        <v>0</v>
      </c>
      <c r="J78">
        <v>6922.29</v>
      </c>
      <c r="K78">
        <v>0</v>
      </c>
      <c r="L78">
        <v>2024</v>
      </c>
    </row>
    <row r="79" spans="1:12" x14ac:dyDescent="0.25">
      <c r="A79" s="1" t="s">
        <v>114</v>
      </c>
      <c r="B79" s="1" t="s">
        <v>12</v>
      </c>
      <c r="C79">
        <v>52</v>
      </c>
      <c r="D79" s="1" t="s">
        <v>13</v>
      </c>
      <c r="E79">
        <v>41127.629999999997</v>
      </c>
      <c r="F79">
        <v>28232.26</v>
      </c>
      <c r="G79">
        <v>29</v>
      </c>
      <c r="H79">
        <v>0</v>
      </c>
      <c r="I79">
        <v>42372.24</v>
      </c>
      <c r="J79">
        <v>2383.5500000000002</v>
      </c>
      <c r="K79">
        <v>0</v>
      </c>
      <c r="L79">
        <v>2024</v>
      </c>
    </row>
    <row r="80" spans="1:12" x14ac:dyDescent="0.25">
      <c r="A80" s="1" t="s">
        <v>115</v>
      </c>
      <c r="B80" s="1" t="s">
        <v>14</v>
      </c>
      <c r="C80">
        <v>85</v>
      </c>
      <c r="D80" s="1" t="s">
        <v>13</v>
      </c>
      <c r="E80">
        <v>71638.98</v>
      </c>
      <c r="F80">
        <v>67760.800000000003</v>
      </c>
      <c r="G80">
        <v>71</v>
      </c>
      <c r="H80">
        <v>9</v>
      </c>
      <c r="I80">
        <v>50730.99</v>
      </c>
      <c r="J80">
        <v>9237.2000000000007</v>
      </c>
      <c r="K80">
        <v>0</v>
      </c>
      <c r="L80">
        <v>2024</v>
      </c>
    </row>
    <row r="81" spans="1:12" x14ac:dyDescent="0.25">
      <c r="A81" s="1" t="s">
        <v>116</v>
      </c>
      <c r="B81" s="1" t="s">
        <v>15</v>
      </c>
      <c r="C81">
        <v>100</v>
      </c>
      <c r="D81" s="1" t="s">
        <v>13</v>
      </c>
      <c r="E81">
        <v>94153.93</v>
      </c>
      <c r="F81">
        <v>93556.78</v>
      </c>
      <c r="G81">
        <v>34</v>
      </c>
      <c r="H81">
        <v>33</v>
      </c>
      <c r="I81">
        <v>59987.8</v>
      </c>
      <c r="J81">
        <v>619.74</v>
      </c>
      <c r="K81">
        <v>1</v>
      </c>
      <c r="L81">
        <v>2024</v>
      </c>
    </row>
    <row r="82" spans="1:12" x14ac:dyDescent="0.25">
      <c r="A82" s="1" t="s">
        <v>117</v>
      </c>
      <c r="B82" s="1" t="s">
        <v>15</v>
      </c>
      <c r="C82">
        <v>40</v>
      </c>
      <c r="D82" s="1" t="s">
        <v>13</v>
      </c>
      <c r="E82">
        <v>45469.84</v>
      </c>
      <c r="F82">
        <v>31597.41</v>
      </c>
      <c r="G82">
        <v>25</v>
      </c>
      <c r="H82">
        <v>0</v>
      </c>
      <c r="I82">
        <v>56482.86</v>
      </c>
      <c r="J82">
        <v>12087.67</v>
      </c>
      <c r="K82">
        <v>0</v>
      </c>
      <c r="L82">
        <v>2024</v>
      </c>
    </row>
    <row r="83" spans="1:12" x14ac:dyDescent="0.25">
      <c r="A83" s="1" t="s">
        <v>118</v>
      </c>
      <c r="B83" s="1" t="s">
        <v>12</v>
      </c>
      <c r="C83">
        <v>84</v>
      </c>
      <c r="D83" s="1" t="s">
        <v>13</v>
      </c>
      <c r="E83">
        <v>67415.89</v>
      </c>
      <c r="F83">
        <v>68845.03</v>
      </c>
      <c r="G83">
        <v>32</v>
      </c>
      <c r="H83">
        <v>44</v>
      </c>
      <c r="I83">
        <v>38297.89</v>
      </c>
      <c r="J83">
        <v>9491.42</v>
      </c>
      <c r="K83">
        <v>1</v>
      </c>
      <c r="L83">
        <v>2024</v>
      </c>
    </row>
    <row r="84" spans="1:12" x14ac:dyDescent="0.25">
      <c r="A84" s="1" t="s">
        <v>119</v>
      </c>
      <c r="B84" s="1" t="s">
        <v>14</v>
      </c>
      <c r="C84">
        <v>3</v>
      </c>
      <c r="D84" s="1" t="s">
        <v>13</v>
      </c>
      <c r="E84">
        <v>33551.15</v>
      </c>
      <c r="F84">
        <v>34724.67</v>
      </c>
      <c r="G84">
        <v>14</v>
      </c>
      <c r="H84">
        <v>30</v>
      </c>
      <c r="I84">
        <v>36972.9</v>
      </c>
      <c r="J84">
        <v>11583.98</v>
      </c>
      <c r="K84">
        <v>0</v>
      </c>
      <c r="L84">
        <v>2024</v>
      </c>
    </row>
    <row r="85" spans="1:12" x14ac:dyDescent="0.25">
      <c r="A85" s="1" t="s">
        <v>120</v>
      </c>
      <c r="B85" s="1" t="s">
        <v>17</v>
      </c>
      <c r="C85">
        <v>108</v>
      </c>
      <c r="D85" s="1" t="s">
        <v>20</v>
      </c>
      <c r="E85">
        <v>85703.09</v>
      </c>
      <c r="F85">
        <v>67255.47</v>
      </c>
      <c r="G85">
        <v>31</v>
      </c>
      <c r="H85">
        <v>20</v>
      </c>
      <c r="I85">
        <v>36458.910000000003</v>
      </c>
      <c r="J85">
        <v>0</v>
      </c>
      <c r="K85">
        <v>0</v>
      </c>
      <c r="L85">
        <v>2024</v>
      </c>
    </row>
    <row r="86" spans="1:12" x14ac:dyDescent="0.25">
      <c r="A86" s="1" t="s">
        <v>121</v>
      </c>
      <c r="B86" s="1" t="s">
        <v>16</v>
      </c>
      <c r="C86">
        <v>91</v>
      </c>
      <c r="D86" s="1" t="s">
        <v>20</v>
      </c>
      <c r="E86">
        <v>82821.25</v>
      </c>
      <c r="F86">
        <v>59233.95</v>
      </c>
      <c r="G86">
        <v>33</v>
      </c>
      <c r="H86">
        <v>31</v>
      </c>
      <c r="I86">
        <v>57350.92</v>
      </c>
      <c r="J86">
        <v>8397.8799999999992</v>
      </c>
      <c r="K86">
        <v>0</v>
      </c>
      <c r="L86">
        <v>2024</v>
      </c>
    </row>
    <row r="87" spans="1:12" x14ac:dyDescent="0.25">
      <c r="A87" s="1" t="s">
        <v>122</v>
      </c>
      <c r="B87" s="1" t="s">
        <v>12</v>
      </c>
      <c r="C87">
        <v>71</v>
      </c>
      <c r="D87" s="1" t="s">
        <v>20</v>
      </c>
      <c r="E87">
        <v>58411.43</v>
      </c>
      <c r="F87">
        <v>43177.19</v>
      </c>
      <c r="G87">
        <v>49</v>
      </c>
      <c r="H87">
        <v>11</v>
      </c>
      <c r="I87">
        <v>9955.7099999999991</v>
      </c>
      <c r="J87">
        <v>891.01</v>
      </c>
      <c r="K87">
        <v>1</v>
      </c>
      <c r="L87">
        <v>2024</v>
      </c>
    </row>
    <row r="88" spans="1:12" x14ac:dyDescent="0.25">
      <c r="A88" s="1" t="s">
        <v>123</v>
      </c>
      <c r="B88" s="1" t="s">
        <v>12</v>
      </c>
      <c r="C88">
        <v>101</v>
      </c>
      <c r="D88" s="1" t="s">
        <v>20</v>
      </c>
      <c r="E88">
        <v>75732.960000000006</v>
      </c>
      <c r="F88">
        <v>70063.31</v>
      </c>
      <c r="G88">
        <v>27</v>
      </c>
      <c r="H88">
        <v>12</v>
      </c>
      <c r="I88">
        <v>37569.360000000001</v>
      </c>
      <c r="J88">
        <v>0</v>
      </c>
      <c r="K88">
        <v>0</v>
      </c>
      <c r="L88">
        <v>2024</v>
      </c>
    </row>
    <row r="89" spans="1:12" x14ac:dyDescent="0.25">
      <c r="A89" s="1" t="s">
        <v>124</v>
      </c>
      <c r="B89" s="1" t="s">
        <v>18</v>
      </c>
      <c r="C89">
        <v>17</v>
      </c>
      <c r="D89" s="1" t="s">
        <v>20</v>
      </c>
      <c r="E89">
        <v>14173.27</v>
      </c>
      <c r="F89">
        <v>10360.540000000001</v>
      </c>
      <c r="G89">
        <v>65</v>
      </c>
      <c r="H89">
        <v>28</v>
      </c>
      <c r="I89">
        <v>35951.94</v>
      </c>
      <c r="J89">
        <v>4345.08</v>
      </c>
      <c r="K89">
        <v>1</v>
      </c>
      <c r="L89">
        <v>2024</v>
      </c>
    </row>
    <row r="90" spans="1:12" x14ac:dyDescent="0.25">
      <c r="A90" s="1" t="s">
        <v>125</v>
      </c>
      <c r="B90" s="1" t="s">
        <v>12</v>
      </c>
      <c r="C90">
        <v>5</v>
      </c>
      <c r="D90" s="1" t="s">
        <v>20</v>
      </c>
      <c r="E90">
        <v>11895.78</v>
      </c>
      <c r="F90">
        <v>11487.59</v>
      </c>
      <c r="G90">
        <v>39</v>
      </c>
      <c r="H90">
        <v>16</v>
      </c>
      <c r="I90">
        <v>38443.699999999997</v>
      </c>
      <c r="J90">
        <v>0</v>
      </c>
      <c r="K90">
        <v>0</v>
      </c>
      <c r="L90">
        <v>2024</v>
      </c>
    </row>
    <row r="91" spans="1:12" x14ac:dyDescent="0.25">
      <c r="A91" s="1" t="s">
        <v>126</v>
      </c>
      <c r="B91" s="1" t="s">
        <v>18</v>
      </c>
      <c r="C91">
        <v>67</v>
      </c>
      <c r="D91" s="1" t="s">
        <v>20</v>
      </c>
      <c r="E91">
        <v>62704.03</v>
      </c>
      <c r="F91">
        <v>49000.31</v>
      </c>
      <c r="G91">
        <v>50</v>
      </c>
      <c r="H91">
        <v>37</v>
      </c>
      <c r="I91">
        <v>81230.039999999994</v>
      </c>
      <c r="J91">
        <v>0</v>
      </c>
      <c r="K91">
        <v>0</v>
      </c>
      <c r="L91">
        <v>2024</v>
      </c>
    </row>
    <row r="92" spans="1:12" x14ac:dyDescent="0.25">
      <c r="A92" s="1" t="s">
        <v>127</v>
      </c>
      <c r="B92" s="1" t="s">
        <v>17</v>
      </c>
      <c r="C92">
        <v>36</v>
      </c>
      <c r="D92" s="1" t="s">
        <v>20</v>
      </c>
      <c r="E92">
        <v>40568.47</v>
      </c>
      <c r="F92">
        <v>30783.71</v>
      </c>
      <c r="G92">
        <v>35</v>
      </c>
      <c r="H92">
        <v>1</v>
      </c>
      <c r="I92">
        <v>13407.88</v>
      </c>
      <c r="J92">
        <v>0</v>
      </c>
      <c r="K92">
        <v>0</v>
      </c>
      <c r="L92">
        <v>2024</v>
      </c>
    </row>
    <row r="93" spans="1:12" x14ac:dyDescent="0.25">
      <c r="A93" s="1" t="s">
        <v>128</v>
      </c>
      <c r="B93" s="1" t="s">
        <v>14</v>
      </c>
      <c r="C93">
        <v>78</v>
      </c>
      <c r="D93" s="1" t="s">
        <v>20</v>
      </c>
      <c r="E93">
        <v>59236.95</v>
      </c>
      <c r="F93">
        <v>45844.04</v>
      </c>
      <c r="G93">
        <v>42</v>
      </c>
      <c r="H93">
        <v>49</v>
      </c>
      <c r="I93">
        <v>97506.18</v>
      </c>
      <c r="J93">
        <v>1234.3699999999999</v>
      </c>
      <c r="K93">
        <v>0</v>
      </c>
      <c r="L93">
        <v>2024</v>
      </c>
    </row>
    <row r="94" spans="1:12" x14ac:dyDescent="0.25">
      <c r="A94" s="1" t="s">
        <v>129</v>
      </c>
      <c r="B94" s="1" t="s">
        <v>12</v>
      </c>
      <c r="C94">
        <v>68</v>
      </c>
      <c r="D94" s="1" t="s">
        <v>20</v>
      </c>
      <c r="E94">
        <v>45317.36</v>
      </c>
      <c r="F94">
        <v>46210.23</v>
      </c>
      <c r="G94">
        <v>50</v>
      </c>
      <c r="H94">
        <v>23</v>
      </c>
      <c r="I94">
        <v>44564.65</v>
      </c>
      <c r="J94">
        <v>0</v>
      </c>
      <c r="K94">
        <v>0</v>
      </c>
      <c r="L94">
        <v>2024</v>
      </c>
    </row>
    <row r="95" spans="1:12" x14ac:dyDescent="0.25">
      <c r="A95" s="1" t="s">
        <v>130</v>
      </c>
      <c r="B95" s="1" t="s">
        <v>16</v>
      </c>
      <c r="C95">
        <v>4</v>
      </c>
      <c r="D95" s="1" t="s">
        <v>20</v>
      </c>
      <c r="E95">
        <v>4000</v>
      </c>
      <c r="F95">
        <v>2500</v>
      </c>
      <c r="G95">
        <v>29</v>
      </c>
      <c r="H95">
        <v>36</v>
      </c>
      <c r="I95">
        <v>0</v>
      </c>
      <c r="J95">
        <v>9051.8700000000008</v>
      </c>
      <c r="K95">
        <v>0</v>
      </c>
      <c r="L95">
        <v>2024</v>
      </c>
    </row>
    <row r="96" spans="1:12" x14ac:dyDescent="0.25">
      <c r="A96" s="1" t="s">
        <v>131</v>
      </c>
      <c r="B96" s="1" t="s">
        <v>12</v>
      </c>
      <c r="C96">
        <v>78</v>
      </c>
      <c r="D96" s="1" t="s">
        <v>20</v>
      </c>
      <c r="E96">
        <v>72820.740000000005</v>
      </c>
      <c r="F96">
        <v>70808.91</v>
      </c>
      <c r="G96">
        <v>31</v>
      </c>
      <c r="H96">
        <v>30</v>
      </c>
      <c r="I96">
        <v>10528.3</v>
      </c>
      <c r="J96">
        <v>4978.9399999999996</v>
      </c>
      <c r="K96">
        <v>1</v>
      </c>
      <c r="L96">
        <v>2024</v>
      </c>
    </row>
    <row r="97" spans="1:12" x14ac:dyDescent="0.25">
      <c r="A97" s="1" t="s">
        <v>132</v>
      </c>
      <c r="B97" s="1" t="s">
        <v>16</v>
      </c>
      <c r="C97">
        <v>31</v>
      </c>
      <c r="D97" s="1" t="s">
        <v>20</v>
      </c>
      <c r="E97">
        <v>44194.17</v>
      </c>
      <c r="F97">
        <v>34658.660000000003</v>
      </c>
      <c r="G97">
        <v>49</v>
      </c>
      <c r="H97">
        <v>0</v>
      </c>
      <c r="I97">
        <v>4872.6400000000003</v>
      </c>
      <c r="J97">
        <v>4114.57</v>
      </c>
      <c r="K97">
        <v>0</v>
      </c>
      <c r="L97">
        <v>2024</v>
      </c>
    </row>
    <row r="98" spans="1:12" x14ac:dyDescent="0.25">
      <c r="A98" s="1" t="s">
        <v>133</v>
      </c>
      <c r="B98" s="1" t="s">
        <v>17</v>
      </c>
      <c r="C98">
        <v>8</v>
      </c>
      <c r="D98" s="1" t="s">
        <v>20</v>
      </c>
      <c r="E98">
        <v>4000</v>
      </c>
      <c r="F98">
        <v>2531.58</v>
      </c>
      <c r="G98">
        <v>38</v>
      </c>
      <c r="H98">
        <v>38</v>
      </c>
      <c r="I98">
        <v>37626.35</v>
      </c>
      <c r="J98">
        <v>249.98</v>
      </c>
      <c r="K98">
        <v>0</v>
      </c>
      <c r="L98">
        <v>2024</v>
      </c>
    </row>
    <row r="99" spans="1:12" x14ac:dyDescent="0.25">
      <c r="A99" s="1" t="s">
        <v>134</v>
      </c>
      <c r="B99" s="1" t="s">
        <v>14</v>
      </c>
      <c r="C99">
        <v>88</v>
      </c>
      <c r="D99" s="1" t="s">
        <v>20</v>
      </c>
      <c r="E99">
        <v>90464.13</v>
      </c>
      <c r="F99">
        <v>69504.55</v>
      </c>
      <c r="G99">
        <v>33</v>
      </c>
      <c r="H99">
        <v>32</v>
      </c>
      <c r="I99">
        <v>26515.85</v>
      </c>
      <c r="J99">
        <v>7408.01</v>
      </c>
      <c r="K99">
        <v>1</v>
      </c>
      <c r="L99">
        <v>2024</v>
      </c>
    </row>
    <row r="100" spans="1:12" x14ac:dyDescent="0.25">
      <c r="A100" s="1" t="s">
        <v>135</v>
      </c>
      <c r="B100" s="1" t="s">
        <v>15</v>
      </c>
      <c r="C100">
        <v>100</v>
      </c>
      <c r="D100" s="1" t="s">
        <v>20</v>
      </c>
      <c r="E100">
        <v>87980.23</v>
      </c>
      <c r="F100">
        <v>54182.29</v>
      </c>
      <c r="G100">
        <v>41</v>
      </c>
      <c r="H100">
        <v>23</v>
      </c>
      <c r="I100">
        <v>59025.29</v>
      </c>
      <c r="J100">
        <v>3462.85</v>
      </c>
      <c r="K100">
        <v>0</v>
      </c>
      <c r="L100">
        <v>2024</v>
      </c>
    </row>
    <row r="101" spans="1:12" x14ac:dyDescent="0.25">
      <c r="A101" s="1" t="s">
        <v>136</v>
      </c>
      <c r="B101" s="1" t="s">
        <v>15</v>
      </c>
      <c r="C101">
        <v>53</v>
      </c>
      <c r="D101" s="1" t="s">
        <v>20</v>
      </c>
      <c r="E101">
        <v>59673.95</v>
      </c>
      <c r="F101">
        <v>64426.12</v>
      </c>
      <c r="G101">
        <v>38</v>
      </c>
      <c r="H101">
        <v>25</v>
      </c>
      <c r="I101">
        <v>58683.03</v>
      </c>
      <c r="J101">
        <v>3509.14</v>
      </c>
      <c r="K101">
        <v>1</v>
      </c>
      <c r="L101">
        <v>2024</v>
      </c>
    </row>
    <row r="102" spans="1:12" x14ac:dyDescent="0.25">
      <c r="A102" s="1" t="s">
        <v>137</v>
      </c>
      <c r="B102" s="1" t="s">
        <v>16</v>
      </c>
      <c r="C102">
        <v>66</v>
      </c>
      <c r="D102" s="1" t="s">
        <v>20</v>
      </c>
      <c r="E102">
        <v>73422.06</v>
      </c>
      <c r="F102">
        <v>54721.33</v>
      </c>
      <c r="G102">
        <v>10</v>
      </c>
      <c r="H102">
        <v>56</v>
      </c>
      <c r="I102">
        <v>21526.59</v>
      </c>
      <c r="J102">
        <v>0</v>
      </c>
      <c r="K102">
        <v>0</v>
      </c>
      <c r="L102">
        <v>2024</v>
      </c>
    </row>
    <row r="103" spans="1:12" x14ac:dyDescent="0.25">
      <c r="A103" s="1" t="s">
        <v>138</v>
      </c>
      <c r="B103" s="1" t="s">
        <v>18</v>
      </c>
      <c r="C103">
        <v>17</v>
      </c>
      <c r="D103" s="1" t="s">
        <v>20</v>
      </c>
      <c r="E103">
        <v>16277.63</v>
      </c>
      <c r="F103">
        <v>15855.77</v>
      </c>
      <c r="G103">
        <v>36</v>
      </c>
      <c r="H103">
        <v>21</v>
      </c>
      <c r="I103">
        <v>36454.660000000003</v>
      </c>
      <c r="J103">
        <v>2484.91</v>
      </c>
      <c r="K103">
        <v>1</v>
      </c>
      <c r="L103">
        <v>2024</v>
      </c>
    </row>
    <row r="104" spans="1:12" x14ac:dyDescent="0.25">
      <c r="A104" s="1" t="s">
        <v>139</v>
      </c>
      <c r="B104" s="1" t="s">
        <v>18</v>
      </c>
      <c r="C104">
        <v>22</v>
      </c>
      <c r="D104" s="1" t="s">
        <v>20</v>
      </c>
      <c r="E104">
        <v>12419.17</v>
      </c>
      <c r="F104">
        <v>11974.34</v>
      </c>
      <c r="G104">
        <v>60</v>
      </c>
      <c r="H104">
        <v>23</v>
      </c>
      <c r="I104">
        <v>29038.35</v>
      </c>
      <c r="J104">
        <v>6423.5</v>
      </c>
      <c r="K104">
        <v>0</v>
      </c>
      <c r="L104">
        <v>2024</v>
      </c>
    </row>
    <row r="105" spans="1:12" x14ac:dyDescent="0.25">
      <c r="A105" s="1" t="s">
        <v>140</v>
      </c>
      <c r="B105" s="1" t="s">
        <v>12</v>
      </c>
      <c r="C105">
        <v>5</v>
      </c>
      <c r="D105" s="1" t="s">
        <v>20</v>
      </c>
      <c r="E105">
        <v>4000</v>
      </c>
      <c r="F105">
        <v>4286.25</v>
      </c>
      <c r="G105">
        <v>41</v>
      </c>
      <c r="H105">
        <v>0</v>
      </c>
      <c r="I105">
        <v>40731.480000000003</v>
      </c>
      <c r="J105">
        <v>3452.49</v>
      </c>
      <c r="K105">
        <v>0</v>
      </c>
      <c r="L105">
        <v>2024</v>
      </c>
    </row>
    <row r="106" spans="1:12" x14ac:dyDescent="0.25">
      <c r="A106" s="1" t="s">
        <v>141</v>
      </c>
      <c r="B106" s="1" t="s">
        <v>17</v>
      </c>
      <c r="C106">
        <v>112</v>
      </c>
      <c r="D106" s="1" t="s">
        <v>20</v>
      </c>
      <c r="E106">
        <v>102362.44</v>
      </c>
      <c r="F106">
        <v>67928.77</v>
      </c>
      <c r="G106">
        <v>67</v>
      </c>
      <c r="H106">
        <v>49</v>
      </c>
      <c r="I106">
        <v>16904.77</v>
      </c>
      <c r="J106">
        <v>4393.8999999999996</v>
      </c>
      <c r="K106">
        <v>0</v>
      </c>
      <c r="L106">
        <v>2024</v>
      </c>
    </row>
    <row r="107" spans="1:12" x14ac:dyDescent="0.25">
      <c r="A107" s="1" t="s">
        <v>142</v>
      </c>
      <c r="B107" s="1" t="s">
        <v>16</v>
      </c>
      <c r="C107">
        <v>111</v>
      </c>
      <c r="D107" s="1" t="s">
        <v>20</v>
      </c>
      <c r="E107">
        <v>93785.54</v>
      </c>
      <c r="F107">
        <v>89647.73</v>
      </c>
      <c r="G107">
        <v>64</v>
      </c>
      <c r="H107">
        <v>69</v>
      </c>
      <c r="I107">
        <v>0</v>
      </c>
      <c r="J107">
        <v>2656.64</v>
      </c>
      <c r="K107">
        <v>0</v>
      </c>
      <c r="L107">
        <v>2024</v>
      </c>
    </row>
    <row r="108" spans="1:12" x14ac:dyDescent="0.25">
      <c r="A108" s="1" t="s">
        <v>21</v>
      </c>
      <c r="B108" s="1" t="s">
        <v>12</v>
      </c>
      <c r="C108">
        <v>93</v>
      </c>
      <c r="D108" s="1" t="s">
        <v>20</v>
      </c>
      <c r="E108">
        <v>71329.95</v>
      </c>
      <c r="F108">
        <v>74665.070000000007</v>
      </c>
      <c r="G108">
        <v>28</v>
      </c>
      <c r="H108">
        <v>46</v>
      </c>
      <c r="I108">
        <v>31244.94</v>
      </c>
      <c r="J108">
        <v>6505.34</v>
      </c>
      <c r="K108">
        <v>0</v>
      </c>
      <c r="L108">
        <v>2024</v>
      </c>
    </row>
    <row r="109" spans="1:12" x14ac:dyDescent="0.25">
      <c r="A109" s="1" t="s">
        <v>143</v>
      </c>
      <c r="B109" s="1" t="s">
        <v>16</v>
      </c>
      <c r="C109">
        <v>8</v>
      </c>
      <c r="D109" s="1" t="s">
        <v>20</v>
      </c>
      <c r="E109">
        <v>25521.919999999998</v>
      </c>
      <c r="F109">
        <v>20852.84</v>
      </c>
      <c r="G109">
        <v>10</v>
      </c>
      <c r="H109">
        <v>22</v>
      </c>
      <c r="I109">
        <v>0</v>
      </c>
      <c r="J109">
        <v>0</v>
      </c>
      <c r="K109">
        <v>0</v>
      </c>
      <c r="L109">
        <v>2024</v>
      </c>
    </row>
    <row r="110" spans="1:12" x14ac:dyDescent="0.25">
      <c r="A110" s="1" t="s">
        <v>144</v>
      </c>
      <c r="B110" s="1" t="s">
        <v>18</v>
      </c>
      <c r="C110">
        <v>86</v>
      </c>
      <c r="D110" s="1" t="s">
        <v>20</v>
      </c>
      <c r="E110">
        <v>70832.03</v>
      </c>
      <c r="F110">
        <v>48645.98</v>
      </c>
      <c r="G110">
        <v>34</v>
      </c>
      <c r="H110">
        <v>34</v>
      </c>
      <c r="I110">
        <v>75990.81</v>
      </c>
      <c r="J110">
        <v>0</v>
      </c>
      <c r="K110">
        <v>1</v>
      </c>
      <c r="L110">
        <v>2024</v>
      </c>
    </row>
    <row r="111" spans="1:12" x14ac:dyDescent="0.25">
      <c r="A111" s="1" t="s">
        <v>145</v>
      </c>
      <c r="B111" s="1" t="s">
        <v>14</v>
      </c>
      <c r="C111">
        <v>79</v>
      </c>
      <c r="D111" s="1" t="s">
        <v>20</v>
      </c>
      <c r="E111">
        <v>52329.95</v>
      </c>
      <c r="F111">
        <v>54511.6</v>
      </c>
      <c r="G111">
        <v>56</v>
      </c>
      <c r="H111">
        <v>47</v>
      </c>
      <c r="I111">
        <v>47565.71</v>
      </c>
      <c r="J111">
        <v>0</v>
      </c>
      <c r="K111">
        <v>0</v>
      </c>
      <c r="L111">
        <v>2024</v>
      </c>
    </row>
    <row r="112" spans="1:12" x14ac:dyDescent="0.25">
      <c r="A112" s="1" t="s">
        <v>146</v>
      </c>
      <c r="B112" s="1" t="s">
        <v>18</v>
      </c>
      <c r="C112">
        <v>113</v>
      </c>
      <c r="D112" s="1" t="s">
        <v>20</v>
      </c>
      <c r="E112">
        <v>116150.57</v>
      </c>
      <c r="F112">
        <v>117574.34</v>
      </c>
      <c r="G112">
        <v>32</v>
      </c>
      <c r="H112">
        <v>36</v>
      </c>
      <c r="I112">
        <v>19177.37</v>
      </c>
      <c r="J112">
        <v>45.81</v>
      </c>
      <c r="K112">
        <v>1</v>
      </c>
      <c r="L112">
        <v>2024</v>
      </c>
    </row>
    <row r="113" spans="1:12" x14ac:dyDescent="0.25">
      <c r="A113" s="1" t="s">
        <v>147</v>
      </c>
      <c r="B113" s="1" t="s">
        <v>12</v>
      </c>
      <c r="C113">
        <v>85</v>
      </c>
      <c r="D113" s="1" t="s">
        <v>20</v>
      </c>
      <c r="E113">
        <v>74824.399999999994</v>
      </c>
      <c r="F113">
        <v>54516.160000000003</v>
      </c>
      <c r="G113">
        <v>33</v>
      </c>
      <c r="H113">
        <v>18</v>
      </c>
      <c r="I113">
        <v>70701.98</v>
      </c>
      <c r="J113">
        <v>0</v>
      </c>
      <c r="K113">
        <v>0</v>
      </c>
      <c r="L113">
        <v>2024</v>
      </c>
    </row>
    <row r="114" spans="1:12" x14ac:dyDescent="0.25">
      <c r="A114" s="1" t="s">
        <v>148</v>
      </c>
      <c r="B114" s="1" t="s">
        <v>12</v>
      </c>
      <c r="C114">
        <v>35</v>
      </c>
      <c r="D114" s="1" t="s">
        <v>20</v>
      </c>
      <c r="E114">
        <v>44834.25</v>
      </c>
      <c r="F114">
        <v>34032.720000000001</v>
      </c>
      <c r="G114">
        <v>45</v>
      </c>
      <c r="H114">
        <v>12</v>
      </c>
      <c r="I114">
        <v>61053.61</v>
      </c>
      <c r="J114">
        <v>0</v>
      </c>
      <c r="K114">
        <v>0</v>
      </c>
      <c r="L114">
        <v>2024</v>
      </c>
    </row>
    <row r="115" spans="1:12" x14ac:dyDescent="0.25">
      <c r="A115" s="1" t="s">
        <v>149</v>
      </c>
      <c r="B115" s="1" t="s">
        <v>15</v>
      </c>
      <c r="C115">
        <v>114</v>
      </c>
      <c r="D115" s="1" t="s">
        <v>20</v>
      </c>
      <c r="E115">
        <v>103387.06</v>
      </c>
      <c r="F115">
        <v>75261.009999999995</v>
      </c>
      <c r="G115">
        <v>10</v>
      </c>
      <c r="H115">
        <v>45</v>
      </c>
      <c r="I115">
        <v>61314.49</v>
      </c>
      <c r="J115">
        <v>0</v>
      </c>
      <c r="K115">
        <v>0</v>
      </c>
      <c r="L115">
        <v>2024</v>
      </c>
    </row>
    <row r="116" spans="1:12" x14ac:dyDescent="0.25">
      <c r="A116" s="1" t="s">
        <v>150</v>
      </c>
      <c r="B116" s="1" t="s">
        <v>16</v>
      </c>
      <c r="C116">
        <v>40</v>
      </c>
      <c r="D116" s="1" t="s">
        <v>20</v>
      </c>
      <c r="E116">
        <v>31348.1</v>
      </c>
      <c r="F116">
        <v>25694.77</v>
      </c>
      <c r="G116">
        <v>27</v>
      </c>
      <c r="H116">
        <v>28</v>
      </c>
      <c r="I116">
        <v>53687.91</v>
      </c>
      <c r="J116">
        <v>5125.46</v>
      </c>
      <c r="K116">
        <v>0</v>
      </c>
      <c r="L116">
        <v>2024</v>
      </c>
    </row>
    <row r="117" spans="1:12" x14ac:dyDescent="0.25">
      <c r="A117" s="1" t="s">
        <v>151</v>
      </c>
      <c r="B117" s="1" t="s">
        <v>14</v>
      </c>
      <c r="C117">
        <v>76</v>
      </c>
      <c r="D117" s="1" t="s">
        <v>20</v>
      </c>
      <c r="E117">
        <v>69454.78</v>
      </c>
      <c r="F117">
        <v>53832.45</v>
      </c>
      <c r="G117">
        <v>23</v>
      </c>
      <c r="H117">
        <v>33</v>
      </c>
      <c r="I117">
        <v>84360.89</v>
      </c>
      <c r="J117">
        <v>6839.33</v>
      </c>
      <c r="K117">
        <v>0</v>
      </c>
      <c r="L117">
        <v>2024</v>
      </c>
    </row>
    <row r="118" spans="1:12" x14ac:dyDescent="0.25">
      <c r="A118" s="1" t="s">
        <v>152</v>
      </c>
      <c r="B118" s="1" t="s">
        <v>12</v>
      </c>
      <c r="C118">
        <v>73</v>
      </c>
      <c r="D118" s="1" t="s">
        <v>20</v>
      </c>
      <c r="E118">
        <v>60254.54</v>
      </c>
      <c r="F118">
        <v>38585.24</v>
      </c>
      <c r="G118">
        <v>43</v>
      </c>
      <c r="H118">
        <v>35</v>
      </c>
      <c r="I118">
        <v>31367.57</v>
      </c>
      <c r="J118">
        <v>1216.67</v>
      </c>
      <c r="K118">
        <v>0</v>
      </c>
      <c r="L118">
        <v>2024</v>
      </c>
    </row>
    <row r="119" spans="1:12" x14ac:dyDescent="0.25">
      <c r="A119" s="1" t="s">
        <v>153</v>
      </c>
      <c r="B119" s="1" t="s">
        <v>12</v>
      </c>
      <c r="C119">
        <v>120</v>
      </c>
      <c r="D119" s="1" t="s">
        <v>20</v>
      </c>
      <c r="E119">
        <v>91056.59</v>
      </c>
      <c r="F119">
        <v>73562.89</v>
      </c>
      <c r="G119">
        <v>51</v>
      </c>
      <c r="H119">
        <v>32</v>
      </c>
      <c r="I119">
        <v>28715.85</v>
      </c>
      <c r="J119">
        <v>1254.73</v>
      </c>
      <c r="K119">
        <v>1</v>
      </c>
      <c r="L119">
        <v>2024</v>
      </c>
    </row>
    <row r="120" spans="1:12" x14ac:dyDescent="0.25">
      <c r="A120" s="1" t="s">
        <v>154</v>
      </c>
      <c r="B120" s="1" t="s">
        <v>15</v>
      </c>
      <c r="C120">
        <v>61</v>
      </c>
      <c r="D120" s="1" t="s">
        <v>20</v>
      </c>
      <c r="E120">
        <v>56209.72</v>
      </c>
      <c r="F120">
        <v>37618.339999999997</v>
      </c>
      <c r="G120">
        <v>60</v>
      </c>
      <c r="H120">
        <v>29</v>
      </c>
      <c r="I120">
        <v>53262.02</v>
      </c>
      <c r="J120">
        <v>8703.89</v>
      </c>
      <c r="K120">
        <v>1</v>
      </c>
      <c r="L120">
        <v>2024</v>
      </c>
    </row>
    <row r="121" spans="1:12" x14ac:dyDescent="0.25">
      <c r="A121" s="1" t="s">
        <v>155</v>
      </c>
      <c r="B121" s="1" t="s">
        <v>14</v>
      </c>
      <c r="C121">
        <v>16</v>
      </c>
      <c r="D121" s="1" t="s">
        <v>20</v>
      </c>
      <c r="E121">
        <v>17418.79</v>
      </c>
      <c r="F121">
        <v>18772.849999999999</v>
      </c>
      <c r="G121">
        <v>56</v>
      </c>
      <c r="H121">
        <v>36</v>
      </c>
      <c r="I121">
        <v>45420.74</v>
      </c>
      <c r="J121">
        <v>0</v>
      </c>
      <c r="K121">
        <v>0</v>
      </c>
      <c r="L121">
        <v>2024</v>
      </c>
    </row>
    <row r="122" spans="1:12" x14ac:dyDescent="0.25">
      <c r="A122" s="1" t="s">
        <v>156</v>
      </c>
      <c r="B122" s="1" t="s">
        <v>18</v>
      </c>
      <c r="C122">
        <v>9</v>
      </c>
      <c r="D122" s="1" t="s">
        <v>20</v>
      </c>
      <c r="E122">
        <v>7330.31</v>
      </c>
      <c r="F122">
        <v>4414.5600000000004</v>
      </c>
      <c r="G122">
        <v>60</v>
      </c>
      <c r="H122">
        <v>25</v>
      </c>
      <c r="I122">
        <v>64867.05</v>
      </c>
      <c r="J122">
        <v>6239.22</v>
      </c>
      <c r="K122">
        <v>0</v>
      </c>
      <c r="L122">
        <v>2024</v>
      </c>
    </row>
    <row r="123" spans="1:12" x14ac:dyDescent="0.25">
      <c r="A123" s="1" t="s">
        <v>157</v>
      </c>
      <c r="B123" s="1" t="s">
        <v>12</v>
      </c>
      <c r="C123">
        <v>87</v>
      </c>
      <c r="D123" s="1" t="s">
        <v>20</v>
      </c>
      <c r="E123">
        <v>87642</v>
      </c>
      <c r="F123">
        <v>69710.55</v>
      </c>
      <c r="G123">
        <v>34</v>
      </c>
      <c r="H123">
        <v>0</v>
      </c>
      <c r="I123">
        <v>26950.66</v>
      </c>
      <c r="J123">
        <v>2110.9899999999998</v>
      </c>
      <c r="K123">
        <v>1</v>
      </c>
      <c r="L123">
        <v>2024</v>
      </c>
    </row>
    <row r="124" spans="1:12" x14ac:dyDescent="0.25">
      <c r="A124" s="1" t="s">
        <v>158</v>
      </c>
      <c r="B124" s="1" t="s">
        <v>14</v>
      </c>
      <c r="C124">
        <v>83</v>
      </c>
      <c r="D124" s="1" t="s">
        <v>20</v>
      </c>
      <c r="E124">
        <v>62205.97</v>
      </c>
      <c r="F124">
        <v>55949.18</v>
      </c>
      <c r="G124">
        <v>26</v>
      </c>
      <c r="H124">
        <v>59</v>
      </c>
      <c r="I124">
        <v>36541.33</v>
      </c>
      <c r="J124">
        <v>3779.36</v>
      </c>
      <c r="K124">
        <v>0</v>
      </c>
      <c r="L124">
        <v>2024</v>
      </c>
    </row>
    <row r="125" spans="1:12" x14ac:dyDescent="0.25">
      <c r="A125" s="1" t="s">
        <v>159</v>
      </c>
      <c r="B125" s="1" t="s">
        <v>12</v>
      </c>
      <c r="C125">
        <v>68</v>
      </c>
      <c r="D125" s="1" t="s">
        <v>20</v>
      </c>
      <c r="E125">
        <v>61035.09</v>
      </c>
      <c r="F125">
        <v>51301.11</v>
      </c>
      <c r="G125">
        <v>71</v>
      </c>
      <c r="H125">
        <v>44</v>
      </c>
      <c r="I125">
        <v>0</v>
      </c>
      <c r="J125">
        <v>3917.45</v>
      </c>
      <c r="K125">
        <v>0</v>
      </c>
      <c r="L125">
        <v>2024</v>
      </c>
    </row>
    <row r="126" spans="1:12" x14ac:dyDescent="0.25">
      <c r="A126" s="1" t="s">
        <v>160</v>
      </c>
      <c r="B126" s="1" t="s">
        <v>16</v>
      </c>
      <c r="C126">
        <v>56</v>
      </c>
      <c r="D126" s="1" t="s">
        <v>20</v>
      </c>
      <c r="E126">
        <v>54922.559999999998</v>
      </c>
      <c r="F126">
        <v>54077.15</v>
      </c>
      <c r="G126">
        <v>42</v>
      </c>
      <c r="H126">
        <v>0</v>
      </c>
      <c r="I126">
        <v>22605.94</v>
      </c>
      <c r="J126">
        <v>1845.46</v>
      </c>
      <c r="K126">
        <v>0</v>
      </c>
      <c r="L126">
        <v>2024</v>
      </c>
    </row>
    <row r="127" spans="1:12" x14ac:dyDescent="0.25">
      <c r="A127" s="1" t="s">
        <v>161</v>
      </c>
      <c r="B127" s="1" t="s">
        <v>18</v>
      </c>
      <c r="C127">
        <v>72</v>
      </c>
      <c r="D127" s="1" t="s">
        <v>20</v>
      </c>
      <c r="E127">
        <v>61318.400000000001</v>
      </c>
      <c r="F127">
        <v>42699.46</v>
      </c>
      <c r="G127">
        <v>24</v>
      </c>
      <c r="H127">
        <v>10</v>
      </c>
      <c r="I127">
        <v>37877.54</v>
      </c>
      <c r="J127">
        <v>0</v>
      </c>
      <c r="K127">
        <v>0</v>
      </c>
      <c r="L127">
        <v>2024</v>
      </c>
    </row>
    <row r="128" spans="1:12" x14ac:dyDescent="0.25">
      <c r="A128" s="1" t="s">
        <v>162</v>
      </c>
      <c r="B128" s="1" t="s">
        <v>12</v>
      </c>
      <c r="C128">
        <v>26</v>
      </c>
      <c r="D128" s="1" t="s">
        <v>20</v>
      </c>
      <c r="E128">
        <v>39451.620000000003</v>
      </c>
      <c r="F128">
        <v>33743.99</v>
      </c>
      <c r="G128">
        <v>43</v>
      </c>
      <c r="H128">
        <v>33</v>
      </c>
      <c r="I128">
        <v>62315.51</v>
      </c>
      <c r="J128">
        <v>3562.25</v>
      </c>
      <c r="K128">
        <v>0</v>
      </c>
      <c r="L128">
        <v>2024</v>
      </c>
    </row>
    <row r="129" spans="1:12" x14ac:dyDescent="0.25">
      <c r="A129" s="1" t="s">
        <v>163</v>
      </c>
      <c r="B129" s="1" t="s">
        <v>17</v>
      </c>
      <c r="C129">
        <v>31</v>
      </c>
      <c r="D129" s="1" t="s">
        <v>20</v>
      </c>
      <c r="E129">
        <v>36107.03</v>
      </c>
      <c r="F129">
        <v>25993.87</v>
      </c>
      <c r="G129">
        <v>52</v>
      </c>
      <c r="H129">
        <v>25</v>
      </c>
      <c r="I129">
        <v>41595.64</v>
      </c>
      <c r="J129">
        <v>0</v>
      </c>
      <c r="K129">
        <v>0</v>
      </c>
      <c r="L129">
        <v>2024</v>
      </c>
    </row>
    <row r="130" spans="1:12" x14ac:dyDescent="0.25">
      <c r="A130" s="1" t="s">
        <v>164</v>
      </c>
      <c r="B130" s="1" t="s">
        <v>18</v>
      </c>
      <c r="C130">
        <v>70</v>
      </c>
      <c r="D130" s="1" t="s">
        <v>20</v>
      </c>
      <c r="E130">
        <v>53198.11</v>
      </c>
      <c r="F130">
        <v>43144.95</v>
      </c>
      <c r="G130">
        <v>25</v>
      </c>
      <c r="H130">
        <v>23</v>
      </c>
      <c r="I130">
        <v>37887.18</v>
      </c>
      <c r="J130">
        <v>0</v>
      </c>
      <c r="K130">
        <v>1</v>
      </c>
      <c r="L130">
        <v>2024</v>
      </c>
    </row>
    <row r="131" spans="1:12" x14ac:dyDescent="0.25">
      <c r="A131" s="1" t="s">
        <v>165</v>
      </c>
      <c r="B131" s="1" t="s">
        <v>12</v>
      </c>
      <c r="C131">
        <v>8</v>
      </c>
      <c r="D131" s="1" t="s">
        <v>20</v>
      </c>
      <c r="E131">
        <v>11364.33</v>
      </c>
      <c r="F131">
        <v>6922</v>
      </c>
      <c r="G131">
        <v>39</v>
      </c>
      <c r="H131">
        <v>19</v>
      </c>
      <c r="I131">
        <v>57317.7</v>
      </c>
      <c r="J131">
        <v>0</v>
      </c>
      <c r="K131">
        <v>0</v>
      </c>
      <c r="L131">
        <v>2024</v>
      </c>
    </row>
    <row r="132" spans="1:12" x14ac:dyDescent="0.25">
      <c r="A132" s="1" t="s">
        <v>166</v>
      </c>
      <c r="B132" s="1" t="s">
        <v>16</v>
      </c>
      <c r="C132">
        <v>5</v>
      </c>
      <c r="D132" s="1" t="s">
        <v>20</v>
      </c>
      <c r="E132">
        <v>15769.07</v>
      </c>
      <c r="F132">
        <v>12361.36</v>
      </c>
      <c r="G132">
        <v>36</v>
      </c>
      <c r="H132">
        <v>30</v>
      </c>
      <c r="I132">
        <v>18809.689999999999</v>
      </c>
      <c r="J132">
        <v>0</v>
      </c>
      <c r="K132">
        <v>0</v>
      </c>
      <c r="L132">
        <v>2024</v>
      </c>
    </row>
    <row r="133" spans="1:12" x14ac:dyDescent="0.25">
      <c r="A133" s="1" t="s">
        <v>167</v>
      </c>
      <c r="B133" s="1" t="s">
        <v>12</v>
      </c>
      <c r="C133">
        <v>12</v>
      </c>
      <c r="D133" s="1" t="s">
        <v>20</v>
      </c>
      <c r="E133">
        <v>19743.689999999999</v>
      </c>
      <c r="F133">
        <v>21216.720000000001</v>
      </c>
      <c r="G133">
        <v>10</v>
      </c>
      <c r="H133">
        <v>61</v>
      </c>
      <c r="I133">
        <v>88425.72</v>
      </c>
      <c r="J133">
        <v>0</v>
      </c>
      <c r="K133">
        <v>0</v>
      </c>
      <c r="L133">
        <v>2024</v>
      </c>
    </row>
    <row r="134" spans="1:12" x14ac:dyDescent="0.25">
      <c r="A134" s="1" t="s">
        <v>168</v>
      </c>
      <c r="B134" s="1" t="s">
        <v>15</v>
      </c>
      <c r="C134">
        <v>98</v>
      </c>
      <c r="D134" s="1" t="s">
        <v>20</v>
      </c>
      <c r="E134">
        <v>85802.29</v>
      </c>
      <c r="F134">
        <v>62075.14</v>
      </c>
      <c r="G134">
        <v>48</v>
      </c>
      <c r="H134">
        <v>45</v>
      </c>
      <c r="I134">
        <v>33776.61</v>
      </c>
      <c r="J134">
        <v>8540.1299999999992</v>
      </c>
      <c r="K134">
        <v>0</v>
      </c>
      <c r="L134">
        <v>2024</v>
      </c>
    </row>
    <row r="135" spans="1:12" x14ac:dyDescent="0.25">
      <c r="A135" s="1" t="s">
        <v>169</v>
      </c>
      <c r="B135" s="1" t="s">
        <v>15</v>
      </c>
      <c r="C135">
        <v>32</v>
      </c>
      <c r="D135" s="1" t="s">
        <v>20</v>
      </c>
      <c r="E135">
        <v>45707.8</v>
      </c>
      <c r="F135">
        <v>46700.75</v>
      </c>
      <c r="G135">
        <v>46</v>
      </c>
      <c r="H135">
        <v>31</v>
      </c>
      <c r="I135">
        <v>0</v>
      </c>
      <c r="J135">
        <v>0</v>
      </c>
      <c r="K135">
        <v>0</v>
      </c>
      <c r="L135">
        <v>2024</v>
      </c>
    </row>
    <row r="136" spans="1:12" x14ac:dyDescent="0.25">
      <c r="A136" s="1" t="s">
        <v>170</v>
      </c>
      <c r="B136" s="1" t="s">
        <v>18</v>
      </c>
      <c r="C136">
        <v>97</v>
      </c>
      <c r="D136" s="1" t="s">
        <v>20</v>
      </c>
      <c r="E136">
        <v>56215.519999999997</v>
      </c>
      <c r="F136">
        <v>43826.400000000001</v>
      </c>
      <c r="G136">
        <v>46</v>
      </c>
      <c r="H136">
        <v>36</v>
      </c>
      <c r="I136">
        <v>74342.12</v>
      </c>
      <c r="J136">
        <v>2658.85</v>
      </c>
      <c r="K136">
        <v>1</v>
      </c>
      <c r="L136">
        <v>2024</v>
      </c>
    </row>
    <row r="137" spans="1:12" x14ac:dyDescent="0.25">
      <c r="A137" s="1" t="s">
        <v>171</v>
      </c>
      <c r="B137" s="1" t="s">
        <v>17</v>
      </c>
      <c r="C137">
        <v>114</v>
      </c>
      <c r="D137" s="1" t="s">
        <v>20</v>
      </c>
      <c r="E137">
        <v>90389.82</v>
      </c>
      <c r="F137">
        <v>73303.12</v>
      </c>
      <c r="G137">
        <v>56</v>
      </c>
      <c r="H137">
        <v>55</v>
      </c>
      <c r="I137">
        <v>0</v>
      </c>
      <c r="J137">
        <v>9560.1299999999992</v>
      </c>
      <c r="K137">
        <v>0</v>
      </c>
      <c r="L137">
        <v>2024</v>
      </c>
    </row>
    <row r="138" spans="1:12" x14ac:dyDescent="0.25">
      <c r="A138" s="1" t="s">
        <v>172</v>
      </c>
      <c r="B138" s="1" t="s">
        <v>16</v>
      </c>
      <c r="C138">
        <v>81</v>
      </c>
      <c r="D138" s="1" t="s">
        <v>20</v>
      </c>
      <c r="E138">
        <v>76297.36</v>
      </c>
      <c r="F138">
        <v>62408.39</v>
      </c>
      <c r="G138">
        <v>23</v>
      </c>
      <c r="H138">
        <v>25</v>
      </c>
      <c r="I138">
        <v>52856.89</v>
      </c>
      <c r="J138">
        <v>7664.14</v>
      </c>
      <c r="K138">
        <v>0</v>
      </c>
      <c r="L138">
        <v>2024</v>
      </c>
    </row>
    <row r="139" spans="1:12" x14ac:dyDescent="0.25">
      <c r="A139" s="1" t="s">
        <v>173</v>
      </c>
      <c r="B139" s="1" t="s">
        <v>15</v>
      </c>
      <c r="C139">
        <v>21</v>
      </c>
      <c r="D139" s="1" t="s">
        <v>20</v>
      </c>
      <c r="E139">
        <v>13585.59</v>
      </c>
      <c r="F139">
        <v>10383.1</v>
      </c>
      <c r="G139">
        <v>26</v>
      </c>
      <c r="H139">
        <v>0</v>
      </c>
      <c r="I139">
        <v>3325.99</v>
      </c>
      <c r="J139">
        <v>6966.13</v>
      </c>
      <c r="K139">
        <v>0</v>
      </c>
      <c r="L139">
        <v>2024</v>
      </c>
    </row>
    <row r="140" spans="1:12" x14ac:dyDescent="0.25">
      <c r="A140" s="1" t="s">
        <v>174</v>
      </c>
      <c r="B140" s="1" t="s">
        <v>17</v>
      </c>
      <c r="C140">
        <v>25</v>
      </c>
      <c r="D140" s="1" t="s">
        <v>20</v>
      </c>
      <c r="E140">
        <v>45332.21</v>
      </c>
      <c r="F140">
        <v>41257.800000000003</v>
      </c>
      <c r="G140">
        <v>38</v>
      </c>
      <c r="H140">
        <v>9</v>
      </c>
      <c r="I140">
        <v>80809.279999999999</v>
      </c>
      <c r="J140">
        <v>123.04</v>
      </c>
      <c r="K140">
        <v>0</v>
      </c>
      <c r="L140">
        <v>2024</v>
      </c>
    </row>
    <row r="141" spans="1:12" x14ac:dyDescent="0.25">
      <c r="A141" s="1" t="s">
        <v>175</v>
      </c>
      <c r="B141" s="1" t="s">
        <v>12</v>
      </c>
      <c r="C141">
        <v>32</v>
      </c>
      <c r="D141" s="1" t="s">
        <v>20</v>
      </c>
      <c r="E141">
        <v>26094.84</v>
      </c>
      <c r="F141">
        <v>18780.52</v>
      </c>
      <c r="G141">
        <v>57</v>
      </c>
      <c r="H141">
        <v>23</v>
      </c>
      <c r="I141">
        <v>7857.45</v>
      </c>
      <c r="J141">
        <v>2319.1799999999998</v>
      </c>
      <c r="K141">
        <v>0</v>
      </c>
      <c r="L141">
        <v>2024</v>
      </c>
    </row>
    <row r="142" spans="1:12" x14ac:dyDescent="0.25">
      <c r="A142" s="1" t="s">
        <v>176</v>
      </c>
      <c r="B142" s="1" t="s">
        <v>12</v>
      </c>
      <c r="C142">
        <v>63</v>
      </c>
      <c r="D142" s="1" t="s">
        <v>20</v>
      </c>
      <c r="E142">
        <v>68587.83</v>
      </c>
      <c r="F142">
        <v>71836.960000000006</v>
      </c>
      <c r="G142">
        <v>34</v>
      </c>
      <c r="H142">
        <v>10</v>
      </c>
      <c r="I142">
        <v>49026.97</v>
      </c>
      <c r="J142">
        <v>7265.16</v>
      </c>
      <c r="K142">
        <v>0</v>
      </c>
      <c r="L142">
        <v>2024</v>
      </c>
    </row>
    <row r="143" spans="1:12" x14ac:dyDescent="0.25">
      <c r="A143" s="1" t="s">
        <v>177</v>
      </c>
      <c r="B143" s="1" t="s">
        <v>15</v>
      </c>
      <c r="C143">
        <v>19</v>
      </c>
      <c r="D143" s="1" t="s">
        <v>20</v>
      </c>
      <c r="E143">
        <v>12943.17</v>
      </c>
      <c r="F143">
        <v>7814.23</v>
      </c>
      <c r="G143">
        <v>62</v>
      </c>
      <c r="H143">
        <v>19</v>
      </c>
      <c r="I143">
        <v>65728.69</v>
      </c>
      <c r="J143">
        <v>8184.08</v>
      </c>
      <c r="K143">
        <v>0</v>
      </c>
      <c r="L143">
        <v>2024</v>
      </c>
    </row>
    <row r="144" spans="1:12" x14ac:dyDescent="0.25">
      <c r="A144" s="1" t="s">
        <v>178</v>
      </c>
      <c r="B144" s="1" t="s">
        <v>15</v>
      </c>
      <c r="C144">
        <v>117</v>
      </c>
      <c r="D144" s="1" t="s">
        <v>20</v>
      </c>
      <c r="E144">
        <v>104336</v>
      </c>
      <c r="F144">
        <v>84350.85</v>
      </c>
      <c r="G144">
        <v>44</v>
      </c>
      <c r="H144">
        <v>60</v>
      </c>
      <c r="I144">
        <v>29800.61</v>
      </c>
      <c r="J144">
        <v>0</v>
      </c>
      <c r="K144">
        <v>0</v>
      </c>
      <c r="L144">
        <v>2024</v>
      </c>
    </row>
    <row r="145" spans="1:12" x14ac:dyDescent="0.25">
      <c r="A145" s="1" t="s">
        <v>179</v>
      </c>
      <c r="B145" s="1" t="s">
        <v>16</v>
      </c>
      <c r="C145">
        <v>75</v>
      </c>
      <c r="D145" s="1" t="s">
        <v>20</v>
      </c>
      <c r="E145">
        <v>53013.03</v>
      </c>
      <c r="F145">
        <v>34433.379999999997</v>
      </c>
      <c r="G145">
        <v>43</v>
      </c>
      <c r="H145">
        <v>35</v>
      </c>
      <c r="I145">
        <v>39108.660000000003</v>
      </c>
      <c r="J145">
        <v>0</v>
      </c>
      <c r="K145">
        <v>0</v>
      </c>
      <c r="L145">
        <v>2024</v>
      </c>
    </row>
    <row r="146" spans="1:12" x14ac:dyDescent="0.25">
      <c r="A146" s="1" t="s">
        <v>180</v>
      </c>
      <c r="B146" s="1" t="s">
        <v>15</v>
      </c>
      <c r="C146">
        <v>67</v>
      </c>
      <c r="D146" s="1" t="s">
        <v>20</v>
      </c>
      <c r="E146">
        <v>55708.27</v>
      </c>
      <c r="F146">
        <v>59375.4</v>
      </c>
      <c r="G146">
        <v>13</v>
      </c>
      <c r="H146">
        <v>4</v>
      </c>
      <c r="I146">
        <v>44118.559999999998</v>
      </c>
      <c r="J146">
        <v>2827.64</v>
      </c>
      <c r="K146">
        <v>1</v>
      </c>
      <c r="L146">
        <v>2024</v>
      </c>
    </row>
    <row r="147" spans="1:12" x14ac:dyDescent="0.25">
      <c r="A147" s="1" t="s">
        <v>181</v>
      </c>
      <c r="B147" s="1" t="s">
        <v>16</v>
      </c>
      <c r="C147">
        <v>58</v>
      </c>
      <c r="D147" s="1" t="s">
        <v>20</v>
      </c>
      <c r="E147">
        <v>61384.61</v>
      </c>
      <c r="F147">
        <v>55969.17</v>
      </c>
      <c r="G147">
        <v>48</v>
      </c>
      <c r="H147">
        <v>6</v>
      </c>
      <c r="I147">
        <v>36561.22</v>
      </c>
      <c r="J147">
        <v>2433.3000000000002</v>
      </c>
      <c r="K147">
        <v>1</v>
      </c>
      <c r="L147">
        <v>2024</v>
      </c>
    </row>
    <row r="148" spans="1:12" x14ac:dyDescent="0.25">
      <c r="A148" s="1" t="s">
        <v>182</v>
      </c>
      <c r="B148" s="1" t="s">
        <v>15</v>
      </c>
      <c r="C148">
        <v>33</v>
      </c>
      <c r="D148" s="1" t="s">
        <v>20</v>
      </c>
      <c r="E148">
        <v>25574.57</v>
      </c>
      <c r="F148">
        <v>22477.7</v>
      </c>
      <c r="G148">
        <v>50</v>
      </c>
      <c r="H148">
        <v>6</v>
      </c>
      <c r="I148">
        <v>6956.36</v>
      </c>
      <c r="J148">
        <v>0</v>
      </c>
      <c r="K148">
        <v>0</v>
      </c>
      <c r="L148">
        <v>2024</v>
      </c>
    </row>
    <row r="149" spans="1:12" x14ac:dyDescent="0.25">
      <c r="A149" s="1" t="s">
        <v>183</v>
      </c>
      <c r="B149" s="1" t="s">
        <v>15</v>
      </c>
      <c r="C149">
        <v>60</v>
      </c>
      <c r="D149" s="1" t="s">
        <v>20</v>
      </c>
      <c r="E149">
        <v>50280.89</v>
      </c>
      <c r="F149">
        <v>42918.79</v>
      </c>
      <c r="G149">
        <v>38</v>
      </c>
      <c r="H149">
        <v>8</v>
      </c>
      <c r="I149">
        <v>77967.7</v>
      </c>
      <c r="J149">
        <v>2307.7199999999998</v>
      </c>
      <c r="K149">
        <v>1</v>
      </c>
      <c r="L149">
        <v>2024</v>
      </c>
    </row>
    <row r="150" spans="1:12" x14ac:dyDescent="0.25">
      <c r="A150" s="1" t="s">
        <v>184</v>
      </c>
      <c r="B150" s="1" t="s">
        <v>16</v>
      </c>
      <c r="C150">
        <v>94</v>
      </c>
      <c r="D150" s="1" t="s">
        <v>20</v>
      </c>
      <c r="E150">
        <v>66675.210000000006</v>
      </c>
      <c r="F150">
        <v>41508.46</v>
      </c>
      <c r="G150">
        <v>34</v>
      </c>
      <c r="H150">
        <v>5</v>
      </c>
      <c r="I150">
        <v>69727.539999999994</v>
      </c>
      <c r="J150">
        <v>0</v>
      </c>
      <c r="K150">
        <v>0</v>
      </c>
      <c r="L150">
        <v>2024</v>
      </c>
    </row>
    <row r="151" spans="1:12" x14ac:dyDescent="0.25">
      <c r="A151" s="1" t="s">
        <v>185</v>
      </c>
      <c r="B151" s="1" t="s">
        <v>18</v>
      </c>
      <c r="C151">
        <v>39</v>
      </c>
      <c r="D151" s="1" t="s">
        <v>20</v>
      </c>
      <c r="E151">
        <v>31628.27</v>
      </c>
      <c r="F151">
        <v>19515.14</v>
      </c>
      <c r="G151">
        <v>10</v>
      </c>
      <c r="H151">
        <v>32</v>
      </c>
      <c r="I151">
        <v>43291.64</v>
      </c>
      <c r="J151">
        <v>2107.54</v>
      </c>
      <c r="K151">
        <v>0</v>
      </c>
      <c r="L151">
        <v>2024</v>
      </c>
    </row>
    <row r="152" spans="1:12" x14ac:dyDescent="0.25">
      <c r="A152" s="1" t="s">
        <v>186</v>
      </c>
      <c r="B152" s="1" t="s">
        <v>14</v>
      </c>
      <c r="C152">
        <v>84</v>
      </c>
      <c r="D152" s="1" t="s">
        <v>20</v>
      </c>
      <c r="E152">
        <v>69859.97</v>
      </c>
      <c r="F152">
        <v>46876.98</v>
      </c>
      <c r="G152">
        <v>38</v>
      </c>
      <c r="H152">
        <v>38</v>
      </c>
      <c r="I152">
        <v>57322.07</v>
      </c>
      <c r="J152">
        <v>3833.81</v>
      </c>
      <c r="K152">
        <v>0</v>
      </c>
      <c r="L152">
        <v>2024</v>
      </c>
    </row>
    <row r="153" spans="1:12" x14ac:dyDescent="0.25">
      <c r="A153" s="1" t="s">
        <v>187</v>
      </c>
      <c r="B153" s="1" t="s">
        <v>15</v>
      </c>
      <c r="C153">
        <v>28</v>
      </c>
      <c r="D153" s="1" t="s">
        <v>20</v>
      </c>
      <c r="E153">
        <v>26133.08</v>
      </c>
      <c r="F153">
        <v>21423.02</v>
      </c>
      <c r="G153">
        <v>41</v>
      </c>
      <c r="H153">
        <v>0</v>
      </c>
      <c r="I153">
        <v>29661.97</v>
      </c>
      <c r="J153">
        <v>4716.07</v>
      </c>
      <c r="K153">
        <v>0</v>
      </c>
      <c r="L153">
        <v>2024</v>
      </c>
    </row>
    <row r="154" spans="1:12" x14ac:dyDescent="0.25">
      <c r="A154" s="1" t="s">
        <v>188</v>
      </c>
      <c r="B154" s="1" t="s">
        <v>17</v>
      </c>
      <c r="C154">
        <v>106</v>
      </c>
      <c r="D154" s="1" t="s">
        <v>20</v>
      </c>
      <c r="E154">
        <v>91347.7</v>
      </c>
      <c r="F154">
        <v>80220.97</v>
      </c>
      <c r="G154">
        <v>62</v>
      </c>
      <c r="H154">
        <v>18</v>
      </c>
      <c r="I154">
        <v>36473.129999999997</v>
      </c>
      <c r="J154">
        <v>2994.58</v>
      </c>
      <c r="K154">
        <v>0</v>
      </c>
      <c r="L154">
        <v>2024</v>
      </c>
    </row>
    <row r="155" spans="1:12" x14ac:dyDescent="0.25">
      <c r="A155" s="1" t="s">
        <v>189</v>
      </c>
      <c r="B155" s="1" t="s">
        <v>17</v>
      </c>
      <c r="C155">
        <v>16</v>
      </c>
      <c r="D155" s="1" t="s">
        <v>20</v>
      </c>
      <c r="E155">
        <v>31620.87</v>
      </c>
      <c r="F155">
        <v>29387.49</v>
      </c>
      <c r="G155">
        <v>60</v>
      </c>
      <c r="H155">
        <v>21</v>
      </c>
      <c r="I155">
        <v>66682.75</v>
      </c>
      <c r="J155">
        <v>2696.69</v>
      </c>
      <c r="K155">
        <v>0</v>
      </c>
      <c r="L155">
        <v>2024</v>
      </c>
    </row>
    <row r="156" spans="1:12" x14ac:dyDescent="0.25">
      <c r="A156" s="1" t="s">
        <v>190</v>
      </c>
      <c r="B156" s="1" t="s">
        <v>17</v>
      </c>
      <c r="C156">
        <v>75</v>
      </c>
      <c r="D156" s="1" t="s">
        <v>20</v>
      </c>
      <c r="E156">
        <v>52656.83</v>
      </c>
      <c r="F156">
        <v>34049.08</v>
      </c>
      <c r="G156">
        <v>45</v>
      </c>
      <c r="H156">
        <v>12</v>
      </c>
      <c r="I156">
        <v>27832.26</v>
      </c>
      <c r="J156">
        <v>0</v>
      </c>
      <c r="K156">
        <v>0</v>
      </c>
      <c r="L156">
        <v>2024</v>
      </c>
    </row>
    <row r="157" spans="1:12" x14ac:dyDescent="0.25">
      <c r="A157" s="1" t="s">
        <v>191</v>
      </c>
      <c r="B157" s="1" t="s">
        <v>17</v>
      </c>
      <c r="C157">
        <v>99</v>
      </c>
      <c r="D157" s="1" t="s">
        <v>20</v>
      </c>
      <c r="E157">
        <v>75053.45</v>
      </c>
      <c r="F157">
        <v>67222.929999999993</v>
      </c>
      <c r="G157">
        <v>25</v>
      </c>
      <c r="H157">
        <v>43</v>
      </c>
      <c r="I157">
        <v>29667.919999999998</v>
      </c>
      <c r="J157">
        <v>0</v>
      </c>
      <c r="K157">
        <v>0</v>
      </c>
      <c r="L157">
        <v>2024</v>
      </c>
    </row>
    <row r="158" spans="1:12" x14ac:dyDescent="0.25">
      <c r="A158" s="1" t="s">
        <v>192</v>
      </c>
      <c r="B158" s="1" t="s">
        <v>12</v>
      </c>
      <c r="C158">
        <v>78</v>
      </c>
      <c r="D158" s="1" t="s">
        <v>20</v>
      </c>
      <c r="E158">
        <v>56828.79</v>
      </c>
      <c r="F158">
        <v>34391.61</v>
      </c>
      <c r="G158">
        <v>38</v>
      </c>
      <c r="H158">
        <v>39</v>
      </c>
      <c r="I158">
        <v>10951.47</v>
      </c>
      <c r="J158">
        <v>3591.6</v>
      </c>
      <c r="K158">
        <v>1</v>
      </c>
      <c r="L158">
        <v>2024</v>
      </c>
    </row>
    <row r="159" spans="1:12" x14ac:dyDescent="0.25">
      <c r="A159" s="1" t="s">
        <v>193</v>
      </c>
      <c r="B159" s="1" t="s">
        <v>18</v>
      </c>
      <c r="C159">
        <v>51</v>
      </c>
      <c r="D159" s="1" t="s">
        <v>194</v>
      </c>
      <c r="E159">
        <v>31702.53</v>
      </c>
      <c r="F159">
        <v>22692.79</v>
      </c>
      <c r="G159">
        <v>25</v>
      </c>
      <c r="H159">
        <v>31</v>
      </c>
      <c r="I159">
        <v>0</v>
      </c>
      <c r="J159">
        <v>12319.29</v>
      </c>
      <c r="K159">
        <v>0</v>
      </c>
      <c r="L159">
        <v>2024</v>
      </c>
    </row>
    <row r="160" spans="1:12" x14ac:dyDescent="0.25">
      <c r="A160" s="1" t="s">
        <v>195</v>
      </c>
      <c r="B160" s="1" t="s">
        <v>12</v>
      </c>
      <c r="C160">
        <v>23</v>
      </c>
      <c r="D160" s="1" t="s">
        <v>194</v>
      </c>
      <c r="E160">
        <v>19529.09</v>
      </c>
      <c r="F160">
        <v>17199.14</v>
      </c>
      <c r="G160">
        <v>47</v>
      </c>
      <c r="H160">
        <v>40</v>
      </c>
      <c r="I160">
        <v>0</v>
      </c>
      <c r="J160">
        <v>0</v>
      </c>
      <c r="K160">
        <v>0</v>
      </c>
      <c r="L160">
        <v>2024</v>
      </c>
    </row>
    <row r="161" spans="1:12" x14ac:dyDescent="0.25">
      <c r="A161" s="1" t="s">
        <v>196</v>
      </c>
      <c r="B161" s="1" t="s">
        <v>15</v>
      </c>
      <c r="C161">
        <v>109</v>
      </c>
      <c r="D161" s="1" t="s">
        <v>194</v>
      </c>
      <c r="E161">
        <v>99137.8</v>
      </c>
      <c r="F161">
        <v>99081.87</v>
      </c>
      <c r="G161">
        <v>25</v>
      </c>
      <c r="H161">
        <v>23</v>
      </c>
      <c r="I161">
        <v>31813.87</v>
      </c>
      <c r="J161">
        <v>0</v>
      </c>
      <c r="K161">
        <v>0</v>
      </c>
      <c r="L161">
        <v>2024</v>
      </c>
    </row>
    <row r="162" spans="1:12" x14ac:dyDescent="0.25">
      <c r="A162" s="1" t="s">
        <v>197</v>
      </c>
      <c r="B162" s="1" t="s">
        <v>12</v>
      </c>
      <c r="C162">
        <v>96</v>
      </c>
      <c r="D162" s="1" t="s">
        <v>194</v>
      </c>
      <c r="E162">
        <v>85587.82</v>
      </c>
      <c r="F162">
        <v>60783.040000000001</v>
      </c>
      <c r="G162">
        <v>51</v>
      </c>
      <c r="H162">
        <v>0</v>
      </c>
      <c r="I162">
        <v>35815.870000000003</v>
      </c>
      <c r="J162">
        <v>0</v>
      </c>
      <c r="K162">
        <v>1</v>
      </c>
      <c r="L162">
        <v>2024</v>
      </c>
    </row>
    <row r="163" spans="1:12" x14ac:dyDescent="0.25">
      <c r="A163" s="1" t="s">
        <v>198</v>
      </c>
      <c r="B163" s="1" t="s">
        <v>12</v>
      </c>
      <c r="C163">
        <v>43</v>
      </c>
      <c r="D163" s="1" t="s">
        <v>194</v>
      </c>
      <c r="E163">
        <v>45574.48</v>
      </c>
      <c r="F163">
        <v>35471.74</v>
      </c>
      <c r="G163">
        <v>37</v>
      </c>
      <c r="H163">
        <v>56</v>
      </c>
      <c r="I163">
        <v>27442.42</v>
      </c>
      <c r="J163">
        <v>0</v>
      </c>
      <c r="K163">
        <v>0</v>
      </c>
      <c r="L163">
        <v>2024</v>
      </c>
    </row>
    <row r="164" spans="1:12" x14ac:dyDescent="0.25">
      <c r="A164" s="1" t="s">
        <v>199</v>
      </c>
      <c r="B164" s="1" t="s">
        <v>14</v>
      </c>
      <c r="C164">
        <v>14</v>
      </c>
      <c r="D164" s="1" t="s">
        <v>194</v>
      </c>
      <c r="E164">
        <v>31240.27</v>
      </c>
      <c r="F164">
        <v>18474.72</v>
      </c>
      <c r="G164">
        <v>48</v>
      </c>
      <c r="H164">
        <v>0</v>
      </c>
      <c r="I164">
        <v>50713.82</v>
      </c>
      <c r="J164">
        <v>8309.91</v>
      </c>
      <c r="K164">
        <v>0</v>
      </c>
      <c r="L164">
        <v>2024</v>
      </c>
    </row>
    <row r="165" spans="1:12" x14ac:dyDescent="0.25">
      <c r="A165" s="1" t="s">
        <v>200</v>
      </c>
      <c r="B165" s="1" t="s">
        <v>17</v>
      </c>
      <c r="C165">
        <v>16</v>
      </c>
      <c r="D165" s="1" t="s">
        <v>194</v>
      </c>
      <c r="E165">
        <v>36523.230000000003</v>
      </c>
      <c r="F165">
        <v>27296.98</v>
      </c>
      <c r="G165">
        <v>38</v>
      </c>
      <c r="H165">
        <v>24</v>
      </c>
      <c r="I165">
        <v>21535.23</v>
      </c>
      <c r="J165">
        <v>1621.2</v>
      </c>
      <c r="K165">
        <v>1</v>
      </c>
      <c r="L165">
        <v>2024</v>
      </c>
    </row>
    <row r="166" spans="1:12" x14ac:dyDescent="0.25">
      <c r="A166" s="1" t="s">
        <v>201</v>
      </c>
      <c r="B166" s="1" t="s">
        <v>14</v>
      </c>
      <c r="C166">
        <v>47</v>
      </c>
      <c r="D166" s="1" t="s">
        <v>194</v>
      </c>
      <c r="E166">
        <v>39450.76</v>
      </c>
      <c r="F166">
        <v>31963.54</v>
      </c>
      <c r="G166">
        <v>42</v>
      </c>
      <c r="H166">
        <v>30</v>
      </c>
      <c r="I166">
        <v>24112.18</v>
      </c>
      <c r="J166">
        <v>0</v>
      </c>
      <c r="K166">
        <v>0</v>
      </c>
      <c r="L166">
        <v>2024</v>
      </c>
    </row>
    <row r="167" spans="1:12" x14ac:dyDescent="0.25">
      <c r="A167" s="1" t="s">
        <v>202</v>
      </c>
      <c r="B167" s="1" t="s">
        <v>18</v>
      </c>
      <c r="C167">
        <v>117</v>
      </c>
      <c r="D167" s="1" t="s">
        <v>194</v>
      </c>
      <c r="E167">
        <v>93841.4</v>
      </c>
      <c r="F167">
        <v>88967.66</v>
      </c>
      <c r="G167">
        <v>24</v>
      </c>
      <c r="H167">
        <v>43</v>
      </c>
      <c r="I167">
        <v>28354.3</v>
      </c>
      <c r="J167">
        <v>0</v>
      </c>
      <c r="K167">
        <v>1</v>
      </c>
      <c r="L167">
        <v>2024</v>
      </c>
    </row>
    <row r="168" spans="1:12" x14ac:dyDescent="0.25">
      <c r="A168" s="1" t="s">
        <v>203</v>
      </c>
      <c r="B168" s="1" t="s">
        <v>12</v>
      </c>
      <c r="C168">
        <v>59</v>
      </c>
      <c r="D168" s="1" t="s">
        <v>194</v>
      </c>
      <c r="E168">
        <v>49988.22</v>
      </c>
      <c r="F168">
        <v>49293.91</v>
      </c>
      <c r="G168">
        <v>38</v>
      </c>
      <c r="H168">
        <v>21</v>
      </c>
      <c r="I168">
        <v>67537.95</v>
      </c>
      <c r="J168">
        <v>10226.370000000001</v>
      </c>
      <c r="K168">
        <v>0</v>
      </c>
      <c r="L168">
        <v>2024</v>
      </c>
    </row>
    <row r="169" spans="1:12" x14ac:dyDescent="0.25">
      <c r="A169" s="1" t="s">
        <v>204</v>
      </c>
      <c r="B169" s="1" t="s">
        <v>18</v>
      </c>
      <c r="C169">
        <v>102</v>
      </c>
      <c r="D169" s="1" t="s">
        <v>194</v>
      </c>
      <c r="E169">
        <v>73822.080000000002</v>
      </c>
      <c r="F169">
        <v>65675</v>
      </c>
      <c r="G169">
        <v>48</v>
      </c>
      <c r="H169">
        <v>16</v>
      </c>
      <c r="I169">
        <v>44658.09</v>
      </c>
      <c r="J169">
        <v>2662.1</v>
      </c>
      <c r="K169">
        <v>0</v>
      </c>
      <c r="L169">
        <v>2024</v>
      </c>
    </row>
    <row r="170" spans="1:12" x14ac:dyDescent="0.25">
      <c r="A170" s="1" t="s">
        <v>205</v>
      </c>
      <c r="B170" s="1" t="s">
        <v>16</v>
      </c>
      <c r="C170">
        <v>8</v>
      </c>
      <c r="D170" s="1" t="s">
        <v>194</v>
      </c>
      <c r="E170">
        <v>9194.09</v>
      </c>
      <c r="F170">
        <v>5920.21</v>
      </c>
      <c r="G170">
        <v>36</v>
      </c>
      <c r="H170">
        <v>40</v>
      </c>
      <c r="I170">
        <v>40968.17</v>
      </c>
      <c r="J170">
        <v>2998.33</v>
      </c>
      <c r="K170">
        <v>0</v>
      </c>
      <c r="L170">
        <v>2024</v>
      </c>
    </row>
    <row r="171" spans="1:12" x14ac:dyDescent="0.25">
      <c r="A171" s="1" t="s">
        <v>206</v>
      </c>
      <c r="B171" s="1" t="s">
        <v>14</v>
      </c>
      <c r="C171">
        <v>5</v>
      </c>
      <c r="D171" s="1" t="s">
        <v>194</v>
      </c>
      <c r="E171">
        <v>9699.11</v>
      </c>
      <c r="F171">
        <v>9765.5300000000007</v>
      </c>
      <c r="G171">
        <v>16</v>
      </c>
      <c r="H171">
        <v>10</v>
      </c>
      <c r="I171">
        <v>18939.82</v>
      </c>
      <c r="J171">
        <v>9582.01</v>
      </c>
      <c r="K171">
        <v>0</v>
      </c>
      <c r="L171">
        <v>2024</v>
      </c>
    </row>
    <row r="172" spans="1:12" x14ac:dyDescent="0.25">
      <c r="A172" s="1" t="s">
        <v>207</v>
      </c>
      <c r="B172" s="1" t="s">
        <v>14</v>
      </c>
      <c r="C172">
        <v>91</v>
      </c>
      <c r="D172" s="1" t="s">
        <v>194</v>
      </c>
      <c r="E172">
        <v>58013.53</v>
      </c>
      <c r="F172">
        <v>47752.71</v>
      </c>
      <c r="G172">
        <v>37</v>
      </c>
      <c r="H172">
        <v>28</v>
      </c>
      <c r="I172">
        <v>56531.55</v>
      </c>
      <c r="J172">
        <v>0</v>
      </c>
      <c r="K172">
        <v>0</v>
      </c>
      <c r="L172">
        <v>2024</v>
      </c>
    </row>
    <row r="173" spans="1:12" x14ac:dyDescent="0.25">
      <c r="A173" s="1" t="s">
        <v>208</v>
      </c>
      <c r="B173" s="1" t="s">
        <v>15</v>
      </c>
      <c r="C173">
        <v>86</v>
      </c>
      <c r="D173" s="1" t="s">
        <v>194</v>
      </c>
      <c r="E173">
        <v>63088.9</v>
      </c>
      <c r="F173">
        <v>41697.550000000003</v>
      </c>
      <c r="G173">
        <v>45</v>
      </c>
      <c r="H173">
        <v>51</v>
      </c>
      <c r="I173">
        <v>15334.52</v>
      </c>
      <c r="J173">
        <v>4085.76</v>
      </c>
      <c r="K173">
        <v>0</v>
      </c>
      <c r="L173">
        <v>2024</v>
      </c>
    </row>
    <row r="174" spans="1:12" x14ac:dyDescent="0.25">
      <c r="A174" s="1" t="s">
        <v>209</v>
      </c>
      <c r="B174" s="1" t="s">
        <v>14</v>
      </c>
      <c r="C174">
        <v>70</v>
      </c>
      <c r="D174" s="1" t="s">
        <v>194</v>
      </c>
      <c r="E174">
        <v>55056.37</v>
      </c>
      <c r="F174">
        <v>52036.68</v>
      </c>
      <c r="G174">
        <v>13</v>
      </c>
      <c r="H174">
        <v>46</v>
      </c>
      <c r="I174">
        <v>9815.01</v>
      </c>
      <c r="J174">
        <v>0</v>
      </c>
      <c r="K174">
        <v>0</v>
      </c>
      <c r="L174">
        <v>2024</v>
      </c>
    </row>
    <row r="175" spans="1:12" x14ac:dyDescent="0.25">
      <c r="A175" s="1" t="s">
        <v>210</v>
      </c>
      <c r="B175" s="1" t="s">
        <v>15</v>
      </c>
      <c r="C175">
        <v>33</v>
      </c>
      <c r="D175" s="1" t="s">
        <v>194</v>
      </c>
      <c r="E175">
        <v>26665.68</v>
      </c>
      <c r="F175">
        <v>25502.26</v>
      </c>
      <c r="G175">
        <v>25</v>
      </c>
      <c r="H175">
        <v>10</v>
      </c>
      <c r="I175">
        <v>87600.13</v>
      </c>
      <c r="J175">
        <v>4135.38</v>
      </c>
      <c r="K175">
        <v>0</v>
      </c>
      <c r="L175">
        <v>2024</v>
      </c>
    </row>
    <row r="176" spans="1:12" x14ac:dyDescent="0.25">
      <c r="A176" s="1" t="s">
        <v>211</v>
      </c>
      <c r="B176" s="1" t="s">
        <v>12</v>
      </c>
      <c r="C176">
        <v>78</v>
      </c>
      <c r="D176" s="1" t="s">
        <v>194</v>
      </c>
      <c r="E176">
        <v>83634.95</v>
      </c>
      <c r="F176">
        <v>69159.02</v>
      </c>
      <c r="G176">
        <v>10</v>
      </c>
      <c r="H176">
        <v>49</v>
      </c>
      <c r="I176">
        <v>36853.910000000003</v>
      </c>
      <c r="J176">
        <v>1377.81</v>
      </c>
      <c r="K176">
        <v>0</v>
      </c>
      <c r="L176">
        <v>2024</v>
      </c>
    </row>
    <row r="177" spans="1:12" x14ac:dyDescent="0.25">
      <c r="A177" s="1" t="s">
        <v>212</v>
      </c>
      <c r="B177" s="1" t="s">
        <v>17</v>
      </c>
      <c r="C177">
        <v>31</v>
      </c>
      <c r="D177" s="1" t="s">
        <v>194</v>
      </c>
      <c r="E177">
        <v>28029.56</v>
      </c>
      <c r="F177">
        <v>20281.990000000002</v>
      </c>
      <c r="G177">
        <v>36</v>
      </c>
      <c r="H177">
        <v>10</v>
      </c>
      <c r="I177">
        <v>54646.91</v>
      </c>
      <c r="J177">
        <v>0</v>
      </c>
      <c r="K177">
        <v>0</v>
      </c>
      <c r="L177">
        <v>2024</v>
      </c>
    </row>
    <row r="178" spans="1:12" x14ac:dyDescent="0.25">
      <c r="A178" s="1" t="s">
        <v>213</v>
      </c>
      <c r="B178" s="1" t="s">
        <v>15</v>
      </c>
      <c r="C178">
        <v>118</v>
      </c>
      <c r="D178" s="1" t="s">
        <v>194</v>
      </c>
      <c r="E178">
        <v>106652.1</v>
      </c>
      <c r="F178">
        <v>89313.67</v>
      </c>
      <c r="G178">
        <v>60</v>
      </c>
      <c r="H178">
        <v>0</v>
      </c>
      <c r="I178">
        <v>0</v>
      </c>
      <c r="J178">
        <v>822.48</v>
      </c>
      <c r="K178">
        <v>0</v>
      </c>
      <c r="L178">
        <v>2024</v>
      </c>
    </row>
    <row r="179" spans="1:12" x14ac:dyDescent="0.25">
      <c r="A179" s="1" t="s">
        <v>214</v>
      </c>
      <c r="B179" s="1" t="s">
        <v>15</v>
      </c>
      <c r="C179">
        <v>77</v>
      </c>
      <c r="D179" s="1" t="s">
        <v>194</v>
      </c>
      <c r="E179">
        <v>72029.36</v>
      </c>
      <c r="F179">
        <v>60695.08</v>
      </c>
      <c r="G179">
        <v>58</v>
      </c>
      <c r="H179">
        <v>38</v>
      </c>
      <c r="I179">
        <v>36358.61</v>
      </c>
      <c r="J179">
        <v>1494.87</v>
      </c>
      <c r="K179">
        <v>1</v>
      </c>
      <c r="L179">
        <v>2024</v>
      </c>
    </row>
    <row r="180" spans="1:12" x14ac:dyDescent="0.25">
      <c r="A180" s="1" t="s">
        <v>215</v>
      </c>
      <c r="B180" s="1" t="s">
        <v>15</v>
      </c>
      <c r="C180">
        <v>68</v>
      </c>
      <c r="D180" s="1" t="s">
        <v>194</v>
      </c>
      <c r="E180">
        <v>55817.34</v>
      </c>
      <c r="F180">
        <v>38338.86</v>
      </c>
      <c r="G180">
        <v>41</v>
      </c>
      <c r="H180">
        <v>29</v>
      </c>
      <c r="I180">
        <v>20912.830000000002</v>
      </c>
      <c r="J180">
        <v>1705.21</v>
      </c>
      <c r="K180">
        <v>0</v>
      </c>
      <c r="L180">
        <v>2024</v>
      </c>
    </row>
    <row r="181" spans="1:12" x14ac:dyDescent="0.25">
      <c r="A181" s="1" t="s">
        <v>216</v>
      </c>
      <c r="B181" s="1" t="s">
        <v>15</v>
      </c>
      <c r="C181">
        <v>29</v>
      </c>
      <c r="D181" s="1" t="s">
        <v>194</v>
      </c>
      <c r="E181">
        <v>28515.72</v>
      </c>
      <c r="F181">
        <v>28434.75</v>
      </c>
      <c r="G181">
        <v>25</v>
      </c>
      <c r="H181">
        <v>24</v>
      </c>
      <c r="I181">
        <v>35299.61</v>
      </c>
      <c r="J181">
        <v>1336.63</v>
      </c>
      <c r="K181">
        <v>0</v>
      </c>
      <c r="L181">
        <v>2024</v>
      </c>
    </row>
    <row r="182" spans="1:12" x14ac:dyDescent="0.25">
      <c r="A182" s="1" t="s">
        <v>217</v>
      </c>
      <c r="B182" s="1" t="s">
        <v>15</v>
      </c>
      <c r="C182">
        <v>85</v>
      </c>
      <c r="D182" s="1" t="s">
        <v>194</v>
      </c>
      <c r="E182">
        <v>65687.78</v>
      </c>
      <c r="F182">
        <v>67214.880000000005</v>
      </c>
      <c r="G182">
        <v>47</v>
      </c>
      <c r="H182">
        <v>15</v>
      </c>
      <c r="I182">
        <v>29728.46</v>
      </c>
      <c r="J182">
        <v>3813.93</v>
      </c>
      <c r="K182">
        <v>0</v>
      </c>
      <c r="L182">
        <v>2024</v>
      </c>
    </row>
    <row r="183" spans="1:12" x14ac:dyDescent="0.25">
      <c r="A183" s="1" t="s">
        <v>218</v>
      </c>
      <c r="B183" s="1" t="s">
        <v>16</v>
      </c>
      <c r="C183">
        <v>91</v>
      </c>
      <c r="D183" s="1" t="s">
        <v>194</v>
      </c>
      <c r="E183">
        <v>82229.210000000006</v>
      </c>
      <c r="F183">
        <v>56157.17</v>
      </c>
      <c r="G183">
        <v>45</v>
      </c>
      <c r="H183">
        <v>32</v>
      </c>
      <c r="I183">
        <v>29417.53</v>
      </c>
      <c r="J183">
        <v>1614.4</v>
      </c>
      <c r="K183">
        <v>0</v>
      </c>
      <c r="L183">
        <v>2024</v>
      </c>
    </row>
    <row r="184" spans="1:12" x14ac:dyDescent="0.25">
      <c r="A184" s="1" t="s">
        <v>219</v>
      </c>
      <c r="B184" s="1" t="s">
        <v>17</v>
      </c>
      <c r="C184">
        <v>73</v>
      </c>
      <c r="D184" s="1" t="s">
        <v>194</v>
      </c>
      <c r="E184">
        <v>51724.14</v>
      </c>
      <c r="F184">
        <v>31757.64</v>
      </c>
      <c r="G184">
        <v>51</v>
      </c>
      <c r="H184">
        <v>25</v>
      </c>
      <c r="I184">
        <v>83609.81</v>
      </c>
      <c r="J184">
        <v>3887.65</v>
      </c>
      <c r="K184">
        <v>0</v>
      </c>
      <c r="L184">
        <v>2024</v>
      </c>
    </row>
    <row r="185" spans="1:12" x14ac:dyDescent="0.25">
      <c r="A185" s="1" t="s">
        <v>220</v>
      </c>
      <c r="B185" s="1" t="s">
        <v>12</v>
      </c>
      <c r="C185">
        <v>104</v>
      </c>
      <c r="D185" s="1" t="s">
        <v>194</v>
      </c>
      <c r="E185">
        <v>62130.6</v>
      </c>
      <c r="F185">
        <v>52219.3</v>
      </c>
      <c r="G185">
        <v>10</v>
      </c>
      <c r="H185">
        <v>40</v>
      </c>
      <c r="I185">
        <v>36875.480000000003</v>
      </c>
      <c r="J185">
        <v>2508.98</v>
      </c>
      <c r="K185">
        <v>0</v>
      </c>
      <c r="L185">
        <v>2024</v>
      </c>
    </row>
    <row r="186" spans="1:12" x14ac:dyDescent="0.25">
      <c r="A186" s="1" t="s">
        <v>221</v>
      </c>
      <c r="B186" s="1" t="s">
        <v>15</v>
      </c>
      <c r="C186">
        <v>95</v>
      </c>
      <c r="D186" s="1" t="s">
        <v>194</v>
      </c>
      <c r="E186">
        <v>103819.55</v>
      </c>
      <c r="F186">
        <v>105250.07</v>
      </c>
      <c r="G186">
        <v>38</v>
      </c>
      <c r="H186">
        <v>29</v>
      </c>
      <c r="I186">
        <v>46239.34</v>
      </c>
      <c r="J186">
        <v>4390.3999999999996</v>
      </c>
      <c r="K186">
        <v>0</v>
      </c>
      <c r="L186">
        <v>2024</v>
      </c>
    </row>
    <row r="187" spans="1:12" x14ac:dyDescent="0.25">
      <c r="A187" s="1" t="s">
        <v>222</v>
      </c>
      <c r="B187" s="1" t="s">
        <v>16</v>
      </c>
      <c r="C187">
        <v>78</v>
      </c>
      <c r="D187" s="1" t="s">
        <v>194</v>
      </c>
      <c r="E187">
        <v>64339.22</v>
      </c>
      <c r="F187">
        <v>43346.29</v>
      </c>
      <c r="G187">
        <v>50</v>
      </c>
      <c r="H187">
        <v>18</v>
      </c>
      <c r="I187">
        <v>33542.839999999997</v>
      </c>
      <c r="J187">
        <v>17897.97</v>
      </c>
      <c r="K187">
        <v>0</v>
      </c>
      <c r="L187">
        <v>2024</v>
      </c>
    </row>
    <row r="188" spans="1:12" x14ac:dyDescent="0.25">
      <c r="A188" s="1" t="s">
        <v>223</v>
      </c>
      <c r="B188" s="1" t="s">
        <v>12</v>
      </c>
      <c r="C188">
        <v>27</v>
      </c>
      <c r="D188" s="1" t="s">
        <v>194</v>
      </c>
      <c r="E188">
        <v>34854.47</v>
      </c>
      <c r="F188">
        <v>27890.240000000002</v>
      </c>
      <c r="G188">
        <v>43</v>
      </c>
      <c r="H188">
        <v>29</v>
      </c>
      <c r="I188">
        <v>49107.13</v>
      </c>
      <c r="J188">
        <v>0</v>
      </c>
      <c r="K188">
        <v>0</v>
      </c>
      <c r="L188">
        <v>2024</v>
      </c>
    </row>
    <row r="189" spans="1:12" x14ac:dyDescent="0.25">
      <c r="A189" s="1" t="s">
        <v>224</v>
      </c>
      <c r="B189" s="1" t="s">
        <v>18</v>
      </c>
      <c r="C189">
        <v>120</v>
      </c>
      <c r="D189" s="1" t="s">
        <v>194</v>
      </c>
      <c r="E189">
        <v>110249.34</v>
      </c>
      <c r="F189">
        <v>71949.100000000006</v>
      </c>
      <c r="G189">
        <v>57</v>
      </c>
      <c r="H189">
        <v>42</v>
      </c>
      <c r="I189">
        <v>31009.360000000001</v>
      </c>
      <c r="J189">
        <v>0</v>
      </c>
      <c r="K189">
        <v>0</v>
      </c>
      <c r="L189">
        <v>2024</v>
      </c>
    </row>
    <row r="190" spans="1:12" x14ac:dyDescent="0.25">
      <c r="A190" s="1" t="s">
        <v>225</v>
      </c>
      <c r="B190" s="1" t="s">
        <v>12</v>
      </c>
      <c r="C190">
        <v>15</v>
      </c>
      <c r="D190" s="1" t="s">
        <v>194</v>
      </c>
      <c r="E190">
        <v>15354.37</v>
      </c>
      <c r="F190">
        <v>9033.98</v>
      </c>
      <c r="G190">
        <v>52</v>
      </c>
      <c r="H190">
        <v>0</v>
      </c>
      <c r="I190">
        <v>21294.54</v>
      </c>
      <c r="J190">
        <v>4216.05</v>
      </c>
      <c r="K190">
        <v>0</v>
      </c>
      <c r="L190">
        <v>2024</v>
      </c>
    </row>
    <row r="191" spans="1:12" x14ac:dyDescent="0.25">
      <c r="A191" s="1" t="s">
        <v>226</v>
      </c>
      <c r="B191" s="1" t="s">
        <v>17</v>
      </c>
      <c r="C191">
        <v>119</v>
      </c>
      <c r="D191" s="1" t="s">
        <v>194</v>
      </c>
      <c r="E191">
        <v>91957.53</v>
      </c>
      <c r="F191">
        <v>67719.47</v>
      </c>
      <c r="G191">
        <v>20</v>
      </c>
      <c r="H191">
        <v>54</v>
      </c>
      <c r="I191">
        <v>36656.75</v>
      </c>
      <c r="J191">
        <v>6848.75</v>
      </c>
      <c r="K191">
        <v>1</v>
      </c>
      <c r="L191">
        <v>2024</v>
      </c>
    </row>
    <row r="192" spans="1:12" x14ac:dyDescent="0.25">
      <c r="A192" s="1" t="s">
        <v>227</v>
      </c>
      <c r="B192" s="1" t="s">
        <v>14</v>
      </c>
      <c r="C192">
        <v>78</v>
      </c>
      <c r="D192" s="1" t="s">
        <v>194</v>
      </c>
      <c r="E192">
        <v>63958.97</v>
      </c>
      <c r="F192">
        <v>52674.879999999997</v>
      </c>
      <c r="G192">
        <v>49</v>
      </c>
      <c r="H192">
        <v>56</v>
      </c>
      <c r="I192">
        <v>30096.3</v>
      </c>
      <c r="J192">
        <v>11295.84</v>
      </c>
      <c r="K192">
        <v>0</v>
      </c>
      <c r="L192">
        <v>2024</v>
      </c>
    </row>
    <row r="193" spans="1:12" x14ac:dyDescent="0.25">
      <c r="A193" s="1" t="s">
        <v>228</v>
      </c>
      <c r="B193" s="1" t="s">
        <v>16</v>
      </c>
      <c r="C193">
        <v>17</v>
      </c>
      <c r="D193" s="1" t="s">
        <v>194</v>
      </c>
      <c r="E193">
        <v>31270.5</v>
      </c>
      <c r="F193">
        <v>24072.43</v>
      </c>
      <c r="G193">
        <v>27</v>
      </c>
      <c r="H193">
        <v>0</v>
      </c>
      <c r="I193">
        <v>23339.72</v>
      </c>
      <c r="J193">
        <v>0</v>
      </c>
      <c r="K193">
        <v>0</v>
      </c>
      <c r="L193">
        <v>2024</v>
      </c>
    </row>
    <row r="194" spans="1:12" x14ac:dyDescent="0.25">
      <c r="A194" s="1" t="s">
        <v>229</v>
      </c>
      <c r="B194" s="1" t="s">
        <v>16</v>
      </c>
      <c r="C194">
        <v>13</v>
      </c>
      <c r="D194" s="1" t="s">
        <v>194</v>
      </c>
      <c r="E194">
        <v>39613.519999999997</v>
      </c>
      <c r="F194">
        <v>30350.6</v>
      </c>
      <c r="G194">
        <v>42</v>
      </c>
      <c r="H194">
        <v>42</v>
      </c>
      <c r="I194">
        <v>2376</v>
      </c>
      <c r="J194">
        <v>9246.34</v>
      </c>
      <c r="K194">
        <v>1</v>
      </c>
      <c r="L194">
        <v>2024</v>
      </c>
    </row>
    <row r="195" spans="1:12" x14ac:dyDescent="0.25">
      <c r="A195" s="1" t="s">
        <v>230</v>
      </c>
      <c r="B195" s="1" t="s">
        <v>16</v>
      </c>
      <c r="C195">
        <v>3</v>
      </c>
      <c r="D195" s="1" t="s">
        <v>194</v>
      </c>
      <c r="E195">
        <v>4000</v>
      </c>
      <c r="F195">
        <v>4073.4</v>
      </c>
      <c r="G195">
        <v>24</v>
      </c>
      <c r="H195">
        <v>26</v>
      </c>
      <c r="I195">
        <v>9928.32</v>
      </c>
      <c r="J195">
        <v>12464.3</v>
      </c>
      <c r="K195">
        <v>0</v>
      </c>
      <c r="L195">
        <v>2024</v>
      </c>
    </row>
    <row r="196" spans="1:12" x14ac:dyDescent="0.25">
      <c r="A196" s="1" t="s">
        <v>231</v>
      </c>
      <c r="B196" s="1" t="s">
        <v>18</v>
      </c>
      <c r="C196">
        <v>70</v>
      </c>
      <c r="D196" s="1" t="s">
        <v>194</v>
      </c>
      <c r="E196">
        <v>67566.7</v>
      </c>
      <c r="F196">
        <v>55131.9</v>
      </c>
      <c r="G196">
        <v>30</v>
      </c>
      <c r="H196">
        <v>43</v>
      </c>
      <c r="I196">
        <v>42405.35</v>
      </c>
      <c r="J196">
        <v>11780.48</v>
      </c>
      <c r="K196">
        <v>0</v>
      </c>
      <c r="L196">
        <v>2024</v>
      </c>
    </row>
    <row r="197" spans="1:12" x14ac:dyDescent="0.25">
      <c r="A197" s="1" t="s">
        <v>232</v>
      </c>
      <c r="B197" s="1" t="s">
        <v>14</v>
      </c>
      <c r="C197">
        <v>31</v>
      </c>
      <c r="D197" s="1" t="s">
        <v>194</v>
      </c>
      <c r="E197">
        <v>30369.24</v>
      </c>
      <c r="F197">
        <v>27907.74</v>
      </c>
      <c r="G197">
        <v>17</v>
      </c>
      <c r="H197">
        <v>20</v>
      </c>
      <c r="I197">
        <v>13087.59</v>
      </c>
      <c r="J197">
        <v>1578.32</v>
      </c>
      <c r="K197">
        <v>0</v>
      </c>
      <c r="L197">
        <v>2024</v>
      </c>
    </row>
    <row r="198" spans="1:12" x14ac:dyDescent="0.25">
      <c r="A198" s="1" t="s">
        <v>233</v>
      </c>
      <c r="B198" s="1" t="s">
        <v>17</v>
      </c>
      <c r="C198">
        <v>68</v>
      </c>
      <c r="D198" s="1" t="s">
        <v>194</v>
      </c>
      <c r="E198">
        <v>58079.5</v>
      </c>
      <c r="F198">
        <v>58226.22</v>
      </c>
      <c r="G198">
        <v>38</v>
      </c>
      <c r="H198">
        <v>14</v>
      </c>
      <c r="I198">
        <v>37522.9</v>
      </c>
      <c r="J198">
        <v>7055.58</v>
      </c>
      <c r="K198">
        <v>0</v>
      </c>
      <c r="L198">
        <v>2024</v>
      </c>
    </row>
    <row r="199" spans="1:12" x14ac:dyDescent="0.25">
      <c r="A199" s="1" t="s">
        <v>234</v>
      </c>
      <c r="B199" s="1" t="s">
        <v>12</v>
      </c>
      <c r="C199">
        <v>104</v>
      </c>
      <c r="D199" s="1" t="s">
        <v>194</v>
      </c>
      <c r="E199">
        <v>103263.15</v>
      </c>
      <c r="F199">
        <v>106655.1</v>
      </c>
      <c r="G199">
        <v>44</v>
      </c>
      <c r="H199">
        <v>23</v>
      </c>
      <c r="I199">
        <v>13191.89</v>
      </c>
      <c r="J199">
        <v>4167.53</v>
      </c>
      <c r="K199">
        <v>0</v>
      </c>
      <c r="L199">
        <v>2024</v>
      </c>
    </row>
    <row r="200" spans="1:12" x14ac:dyDescent="0.25">
      <c r="A200" s="1" t="s">
        <v>235</v>
      </c>
      <c r="B200" s="1" t="s">
        <v>15</v>
      </c>
      <c r="C200">
        <v>119</v>
      </c>
      <c r="D200" s="1" t="s">
        <v>194</v>
      </c>
      <c r="E200">
        <v>104675.74</v>
      </c>
      <c r="F200">
        <v>61345.2</v>
      </c>
      <c r="G200">
        <v>52</v>
      </c>
      <c r="H200">
        <v>55</v>
      </c>
      <c r="I200">
        <v>48302.83</v>
      </c>
      <c r="J200">
        <v>7008.23</v>
      </c>
      <c r="K200">
        <v>0</v>
      </c>
      <c r="L200">
        <v>2024</v>
      </c>
    </row>
    <row r="201" spans="1:12" x14ac:dyDescent="0.25">
      <c r="A201" s="1" t="s">
        <v>236</v>
      </c>
      <c r="B201" s="1" t="s">
        <v>17</v>
      </c>
      <c r="C201">
        <v>27</v>
      </c>
      <c r="D201" s="1" t="s">
        <v>194</v>
      </c>
      <c r="E201">
        <v>25097.66</v>
      </c>
      <c r="F201">
        <v>18231.28</v>
      </c>
      <c r="G201">
        <v>41</v>
      </c>
      <c r="H201">
        <v>14</v>
      </c>
      <c r="I201">
        <v>24647.439999999999</v>
      </c>
      <c r="J201">
        <v>191.08</v>
      </c>
      <c r="K201">
        <v>0</v>
      </c>
      <c r="L201">
        <v>2024</v>
      </c>
    </row>
    <row r="202" spans="1:12" x14ac:dyDescent="0.25">
      <c r="A202" s="1" t="s">
        <v>237</v>
      </c>
      <c r="B202" s="1" t="s">
        <v>12</v>
      </c>
      <c r="C202">
        <v>53</v>
      </c>
      <c r="D202" s="1" t="s">
        <v>194</v>
      </c>
      <c r="E202">
        <v>48183.77</v>
      </c>
      <c r="F202">
        <v>35316.51</v>
      </c>
      <c r="G202">
        <v>41</v>
      </c>
      <c r="H202">
        <v>60</v>
      </c>
      <c r="I202">
        <v>34776.639999999999</v>
      </c>
      <c r="J202">
        <v>2652.32</v>
      </c>
      <c r="K202">
        <v>0</v>
      </c>
      <c r="L202">
        <v>2024</v>
      </c>
    </row>
    <row r="203" spans="1:12" x14ac:dyDescent="0.25">
      <c r="A203" s="1" t="s">
        <v>238</v>
      </c>
      <c r="B203" s="1" t="s">
        <v>12</v>
      </c>
      <c r="C203">
        <v>5</v>
      </c>
      <c r="D203" s="1" t="s">
        <v>194</v>
      </c>
      <c r="E203">
        <v>4000</v>
      </c>
      <c r="F203">
        <v>2500</v>
      </c>
      <c r="G203">
        <v>33</v>
      </c>
      <c r="H203">
        <v>41</v>
      </c>
      <c r="I203">
        <v>22526.45</v>
      </c>
      <c r="J203">
        <v>0</v>
      </c>
      <c r="K203">
        <v>0</v>
      </c>
      <c r="L203">
        <v>2024</v>
      </c>
    </row>
    <row r="204" spans="1:12" x14ac:dyDescent="0.25">
      <c r="A204" s="1" t="s">
        <v>239</v>
      </c>
      <c r="B204" s="1" t="s">
        <v>12</v>
      </c>
      <c r="C204">
        <v>73</v>
      </c>
      <c r="D204" s="1" t="s">
        <v>194</v>
      </c>
      <c r="E204">
        <v>57119.69</v>
      </c>
      <c r="F204">
        <v>36428.239999999998</v>
      </c>
      <c r="G204">
        <v>39</v>
      </c>
      <c r="H204">
        <v>7</v>
      </c>
      <c r="I204">
        <v>36096.43</v>
      </c>
      <c r="J204">
        <v>5028.87</v>
      </c>
      <c r="K204">
        <v>0</v>
      </c>
      <c r="L204">
        <v>2024</v>
      </c>
    </row>
    <row r="205" spans="1:12" x14ac:dyDescent="0.25">
      <c r="A205" s="1" t="s">
        <v>240</v>
      </c>
      <c r="B205" s="1" t="s">
        <v>17</v>
      </c>
      <c r="C205">
        <v>57</v>
      </c>
      <c r="D205" s="1" t="s">
        <v>194</v>
      </c>
      <c r="E205">
        <v>46045.95</v>
      </c>
      <c r="F205">
        <v>47623.09</v>
      </c>
      <c r="G205">
        <v>33</v>
      </c>
      <c r="H205">
        <v>63</v>
      </c>
      <c r="I205">
        <v>18336.02</v>
      </c>
      <c r="J205">
        <v>7292.39</v>
      </c>
      <c r="K205">
        <v>0</v>
      </c>
      <c r="L205">
        <v>2024</v>
      </c>
    </row>
    <row r="206" spans="1:12" x14ac:dyDescent="0.25">
      <c r="A206" s="1" t="s">
        <v>241</v>
      </c>
      <c r="B206" s="1" t="s">
        <v>18</v>
      </c>
      <c r="C206">
        <v>34</v>
      </c>
      <c r="D206" s="1" t="s">
        <v>194</v>
      </c>
      <c r="E206">
        <v>44432.33</v>
      </c>
      <c r="F206">
        <v>30294.89</v>
      </c>
      <c r="G206">
        <v>37</v>
      </c>
      <c r="H206">
        <v>25</v>
      </c>
      <c r="I206">
        <v>51957.15</v>
      </c>
      <c r="J206">
        <v>2898</v>
      </c>
      <c r="K206">
        <v>0</v>
      </c>
      <c r="L206">
        <v>2024</v>
      </c>
    </row>
    <row r="207" spans="1:12" x14ac:dyDescent="0.25">
      <c r="A207" s="1" t="s">
        <v>242</v>
      </c>
      <c r="B207" s="1" t="s">
        <v>15</v>
      </c>
      <c r="C207">
        <v>39</v>
      </c>
      <c r="D207" s="1" t="s">
        <v>194</v>
      </c>
      <c r="E207">
        <v>37071.870000000003</v>
      </c>
      <c r="F207">
        <v>25299.84</v>
      </c>
      <c r="G207">
        <v>24</v>
      </c>
      <c r="H207">
        <v>59</v>
      </c>
      <c r="I207">
        <v>15681.56</v>
      </c>
      <c r="J207">
        <v>3385.49</v>
      </c>
      <c r="K207">
        <v>0</v>
      </c>
      <c r="L207">
        <v>2024</v>
      </c>
    </row>
    <row r="208" spans="1:12" x14ac:dyDescent="0.25">
      <c r="A208" s="1" t="s">
        <v>243</v>
      </c>
      <c r="B208" s="1" t="s">
        <v>18</v>
      </c>
      <c r="C208">
        <v>47</v>
      </c>
      <c r="D208" s="1" t="s">
        <v>194</v>
      </c>
      <c r="E208">
        <v>34555.760000000002</v>
      </c>
      <c r="F208">
        <v>23335.01</v>
      </c>
      <c r="G208">
        <v>54</v>
      </c>
      <c r="H208">
        <v>36</v>
      </c>
      <c r="I208">
        <v>10217.44</v>
      </c>
      <c r="J208">
        <v>0</v>
      </c>
      <c r="K208">
        <v>0</v>
      </c>
      <c r="L208">
        <v>2024</v>
      </c>
    </row>
    <row r="209" spans="1:12" x14ac:dyDescent="0.25">
      <c r="A209" s="1" t="s">
        <v>244</v>
      </c>
      <c r="B209" s="1" t="s">
        <v>14</v>
      </c>
      <c r="C209">
        <v>27</v>
      </c>
      <c r="D209" s="1" t="s">
        <v>194</v>
      </c>
      <c r="E209">
        <v>49482.61</v>
      </c>
      <c r="F209">
        <v>51823.31</v>
      </c>
      <c r="G209">
        <v>34</v>
      </c>
      <c r="H209">
        <v>0</v>
      </c>
      <c r="I209">
        <v>31068.06</v>
      </c>
      <c r="J209">
        <v>2889.68</v>
      </c>
      <c r="K209">
        <v>0</v>
      </c>
      <c r="L209">
        <v>2024</v>
      </c>
    </row>
    <row r="210" spans="1:12" x14ac:dyDescent="0.25">
      <c r="A210" s="1" t="s">
        <v>245</v>
      </c>
      <c r="B210" s="1" t="s">
        <v>16</v>
      </c>
      <c r="C210">
        <v>51</v>
      </c>
      <c r="D210" s="1" t="s">
        <v>194</v>
      </c>
      <c r="E210">
        <v>52711.64</v>
      </c>
      <c r="F210">
        <v>54681.86</v>
      </c>
      <c r="G210">
        <v>34</v>
      </c>
      <c r="H210">
        <v>6</v>
      </c>
      <c r="I210">
        <v>55210</v>
      </c>
      <c r="J210">
        <v>12357.01</v>
      </c>
      <c r="K210">
        <v>0</v>
      </c>
      <c r="L210">
        <v>2024</v>
      </c>
    </row>
    <row r="211" spans="1:12" x14ac:dyDescent="0.25">
      <c r="A211" s="1" t="s">
        <v>246</v>
      </c>
      <c r="B211" s="1" t="s">
        <v>16</v>
      </c>
      <c r="C211">
        <v>81</v>
      </c>
      <c r="D211" s="1" t="s">
        <v>194</v>
      </c>
      <c r="E211">
        <v>69389.52</v>
      </c>
      <c r="F211">
        <v>55057.19</v>
      </c>
      <c r="G211">
        <v>48</v>
      </c>
      <c r="H211">
        <v>44</v>
      </c>
      <c r="I211">
        <v>28878.720000000001</v>
      </c>
      <c r="J211">
        <v>3319.85</v>
      </c>
      <c r="K211">
        <v>0</v>
      </c>
      <c r="L211">
        <v>2024</v>
      </c>
    </row>
    <row r="212" spans="1:12" x14ac:dyDescent="0.25">
      <c r="A212" s="1" t="s">
        <v>247</v>
      </c>
      <c r="B212" s="1" t="s">
        <v>14</v>
      </c>
      <c r="C212">
        <v>70</v>
      </c>
      <c r="D212" s="1" t="s">
        <v>194</v>
      </c>
      <c r="E212">
        <v>65919.53</v>
      </c>
      <c r="F212">
        <v>63421.06</v>
      </c>
      <c r="G212">
        <v>56</v>
      </c>
      <c r="H212">
        <v>0</v>
      </c>
      <c r="I212">
        <v>42678.19</v>
      </c>
      <c r="J212">
        <v>1990.52</v>
      </c>
      <c r="K212">
        <v>0</v>
      </c>
      <c r="L212">
        <v>2024</v>
      </c>
    </row>
    <row r="213" spans="1:12" x14ac:dyDescent="0.25">
      <c r="A213" s="1" t="s">
        <v>248</v>
      </c>
      <c r="B213" s="1" t="s">
        <v>17</v>
      </c>
      <c r="C213">
        <v>38</v>
      </c>
      <c r="D213" s="1" t="s">
        <v>194</v>
      </c>
      <c r="E213">
        <v>29586.33</v>
      </c>
      <c r="F213">
        <v>22879.439999999999</v>
      </c>
      <c r="G213">
        <v>31</v>
      </c>
      <c r="H213">
        <v>28</v>
      </c>
      <c r="I213">
        <v>59617.54</v>
      </c>
      <c r="J213">
        <v>4252.55</v>
      </c>
      <c r="K213">
        <v>0</v>
      </c>
      <c r="L213">
        <v>2024</v>
      </c>
    </row>
    <row r="214" spans="1:12" x14ac:dyDescent="0.25">
      <c r="A214" s="1" t="s">
        <v>249</v>
      </c>
      <c r="B214" s="1" t="s">
        <v>15</v>
      </c>
      <c r="C214">
        <v>84</v>
      </c>
      <c r="D214" s="1" t="s">
        <v>194</v>
      </c>
      <c r="E214">
        <v>73366.97</v>
      </c>
      <c r="F214">
        <v>70849.259999999995</v>
      </c>
      <c r="G214">
        <v>36</v>
      </c>
      <c r="H214">
        <v>4</v>
      </c>
      <c r="I214">
        <v>60082.37</v>
      </c>
      <c r="J214">
        <v>5442.16</v>
      </c>
      <c r="K214">
        <v>0</v>
      </c>
      <c r="L214">
        <v>2024</v>
      </c>
    </row>
    <row r="215" spans="1:12" x14ac:dyDescent="0.25">
      <c r="A215" s="1" t="s">
        <v>250</v>
      </c>
      <c r="B215" s="1" t="s">
        <v>15</v>
      </c>
      <c r="C215">
        <v>10</v>
      </c>
      <c r="D215" s="1" t="s">
        <v>194</v>
      </c>
      <c r="E215">
        <v>23884.94</v>
      </c>
      <c r="F215">
        <v>15088.28</v>
      </c>
      <c r="G215">
        <v>18</v>
      </c>
      <c r="H215">
        <v>38</v>
      </c>
      <c r="I215">
        <v>38106.49</v>
      </c>
      <c r="J215">
        <v>3242.33</v>
      </c>
      <c r="K215">
        <v>0</v>
      </c>
      <c r="L215">
        <v>2024</v>
      </c>
    </row>
    <row r="216" spans="1:12" x14ac:dyDescent="0.25">
      <c r="A216" s="1" t="s">
        <v>251</v>
      </c>
      <c r="B216" s="1" t="s">
        <v>14</v>
      </c>
      <c r="C216">
        <v>43</v>
      </c>
      <c r="D216" s="1" t="s">
        <v>194</v>
      </c>
      <c r="E216">
        <v>40260.06</v>
      </c>
      <c r="F216">
        <v>36590.15</v>
      </c>
      <c r="G216">
        <v>36</v>
      </c>
      <c r="H216">
        <v>46</v>
      </c>
      <c r="I216">
        <v>54658.98</v>
      </c>
      <c r="J216">
        <v>0</v>
      </c>
      <c r="K216">
        <v>0</v>
      </c>
      <c r="L216">
        <v>2024</v>
      </c>
    </row>
    <row r="217" spans="1:12" x14ac:dyDescent="0.25">
      <c r="A217" s="1" t="s">
        <v>252</v>
      </c>
      <c r="B217" s="1" t="s">
        <v>16</v>
      </c>
      <c r="C217">
        <v>36</v>
      </c>
      <c r="D217" s="1" t="s">
        <v>194</v>
      </c>
      <c r="E217">
        <v>46671.86</v>
      </c>
      <c r="F217">
        <v>29832.81</v>
      </c>
      <c r="G217">
        <v>42</v>
      </c>
      <c r="H217">
        <v>33</v>
      </c>
      <c r="I217">
        <v>0</v>
      </c>
      <c r="J217">
        <v>7051.52</v>
      </c>
      <c r="K217">
        <v>0</v>
      </c>
      <c r="L217">
        <v>2024</v>
      </c>
    </row>
    <row r="218" spans="1:12" x14ac:dyDescent="0.25">
      <c r="A218" s="1" t="s">
        <v>253</v>
      </c>
      <c r="B218" s="1" t="s">
        <v>17</v>
      </c>
      <c r="C218">
        <v>119</v>
      </c>
      <c r="D218" s="1" t="s">
        <v>194</v>
      </c>
      <c r="E218">
        <v>96963.31</v>
      </c>
      <c r="F218">
        <v>86238.33</v>
      </c>
      <c r="G218">
        <v>30</v>
      </c>
      <c r="H218">
        <v>21</v>
      </c>
      <c r="I218">
        <v>38305.01</v>
      </c>
      <c r="J218">
        <v>0</v>
      </c>
      <c r="K218">
        <v>1</v>
      </c>
      <c r="L218">
        <v>2024</v>
      </c>
    </row>
    <row r="219" spans="1:12" x14ac:dyDescent="0.25">
      <c r="A219" s="1" t="s">
        <v>254</v>
      </c>
      <c r="B219" s="1" t="s">
        <v>15</v>
      </c>
      <c r="C219">
        <v>46</v>
      </c>
      <c r="D219" s="1" t="s">
        <v>194</v>
      </c>
      <c r="E219">
        <v>44271.77</v>
      </c>
      <c r="F219">
        <v>32471.66</v>
      </c>
      <c r="G219">
        <v>58</v>
      </c>
      <c r="H219">
        <v>34</v>
      </c>
      <c r="I219">
        <v>24589.34</v>
      </c>
      <c r="J219">
        <v>2070.2199999999998</v>
      </c>
      <c r="K219">
        <v>0</v>
      </c>
      <c r="L219">
        <v>2024</v>
      </c>
    </row>
    <row r="220" spans="1:12" x14ac:dyDescent="0.25">
      <c r="A220" s="1" t="s">
        <v>255</v>
      </c>
      <c r="B220" s="1" t="s">
        <v>17</v>
      </c>
      <c r="C220">
        <v>24</v>
      </c>
      <c r="D220" s="1" t="s">
        <v>194</v>
      </c>
      <c r="E220">
        <v>27826.49</v>
      </c>
      <c r="F220">
        <v>22853.72</v>
      </c>
      <c r="G220">
        <v>43</v>
      </c>
      <c r="H220">
        <v>38</v>
      </c>
      <c r="I220">
        <v>19320.88</v>
      </c>
      <c r="J220">
        <v>0</v>
      </c>
      <c r="K220">
        <v>0</v>
      </c>
      <c r="L220">
        <v>2024</v>
      </c>
    </row>
    <row r="221" spans="1:12" x14ac:dyDescent="0.25">
      <c r="A221" s="1" t="s">
        <v>256</v>
      </c>
      <c r="B221" s="1" t="s">
        <v>15</v>
      </c>
      <c r="C221">
        <v>58</v>
      </c>
      <c r="D221" s="1" t="s">
        <v>194</v>
      </c>
      <c r="E221">
        <v>51359.15</v>
      </c>
      <c r="F221">
        <v>39427.019999999997</v>
      </c>
      <c r="G221">
        <v>47</v>
      </c>
      <c r="H221">
        <v>11</v>
      </c>
      <c r="I221">
        <v>16627.169999999998</v>
      </c>
      <c r="J221">
        <v>10929.76</v>
      </c>
      <c r="K221">
        <v>0</v>
      </c>
      <c r="L221">
        <v>2024</v>
      </c>
    </row>
    <row r="222" spans="1:12" x14ac:dyDescent="0.25">
      <c r="A222" s="1" t="s">
        <v>257</v>
      </c>
      <c r="B222" s="1" t="s">
        <v>15</v>
      </c>
      <c r="C222">
        <v>100</v>
      </c>
      <c r="D222" s="1" t="s">
        <v>194</v>
      </c>
      <c r="E222">
        <v>102489.96</v>
      </c>
      <c r="F222">
        <v>80958.320000000007</v>
      </c>
      <c r="G222">
        <v>52</v>
      </c>
      <c r="H222">
        <v>30</v>
      </c>
      <c r="I222">
        <v>21087.08</v>
      </c>
      <c r="J222">
        <v>12382.5</v>
      </c>
      <c r="K222">
        <v>1</v>
      </c>
      <c r="L222">
        <v>2024</v>
      </c>
    </row>
    <row r="223" spans="1:12" x14ac:dyDescent="0.25">
      <c r="A223" s="1" t="s">
        <v>258</v>
      </c>
      <c r="B223" s="1" t="s">
        <v>17</v>
      </c>
      <c r="C223">
        <v>3</v>
      </c>
      <c r="D223" s="1" t="s">
        <v>194</v>
      </c>
      <c r="E223">
        <v>10775.04</v>
      </c>
      <c r="F223">
        <v>7645.72</v>
      </c>
      <c r="G223">
        <v>14</v>
      </c>
      <c r="H223">
        <v>21</v>
      </c>
      <c r="I223">
        <v>30887.13</v>
      </c>
      <c r="J223">
        <v>0</v>
      </c>
      <c r="K223">
        <v>0</v>
      </c>
      <c r="L223">
        <v>2024</v>
      </c>
    </row>
    <row r="224" spans="1:12" x14ac:dyDescent="0.25">
      <c r="A224" s="1" t="s">
        <v>259</v>
      </c>
      <c r="B224" s="1" t="s">
        <v>16</v>
      </c>
      <c r="C224">
        <v>100</v>
      </c>
      <c r="D224" s="1" t="s">
        <v>194</v>
      </c>
      <c r="E224">
        <v>95668.77</v>
      </c>
      <c r="F224">
        <v>63150.79</v>
      </c>
      <c r="G224">
        <v>47</v>
      </c>
      <c r="H224">
        <v>52</v>
      </c>
      <c r="I224">
        <v>67624.710000000006</v>
      </c>
      <c r="J224">
        <v>6642.92</v>
      </c>
      <c r="K224">
        <v>1</v>
      </c>
      <c r="L224">
        <v>2024</v>
      </c>
    </row>
    <row r="225" spans="1:12" x14ac:dyDescent="0.25">
      <c r="A225" s="1" t="s">
        <v>260</v>
      </c>
      <c r="B225" s="1" t="s">
        <v>15</v>
      </c>
      <c r="C225">
        <v>64</v>
      </c>
      <c r="D225" s="1" t="s">
        <v>194</v>
      </c>
      <c r="E225">
        <v>47758.74</v>
      </c>
      <c r="F225">
        <v>34842.21</v>
      </c>
      <c r="G225">
        <v>20</v>
      </c>
      <c r="H225">
        <v>19</v>
      </c>
      <c r="I225">
        <v>52167.81</v>
      </c>
      <c r="J225">
        <v>703.86</v>
      </c>
      <c r="K225">
        <v>0</v>
      </c>
      <c r="L225">
        <v>2024</v>
      </c>
    </row>
    <row r="226" spans="1:12" x14ac:dyDescent="0.25">
      <c r="A226" s="1" t="s">
        <v>261</v>
      </c>
      <c r="B226" s="1" t="s">
        <v>15</v>
      </c>
      <c r="C226">
        <v>9</v>
      </c>
      <c r="D226" s="1" t="s">
        <v>194</v>
      </c>
      <c r="E226">
        <v>24838.66</v>
      </c>
      <c r="F226">
        <v>19133.650000000001</v>
      </c>
      <c r="G226">
        <v>24</v>
      </c>
      <c r="H226">
        <v>20</v>
      </c>
      <c r="I226">
        <v>27542.82</v>
      </c>
      <c r="J226">
        <v>1929.58</v>
      </c>
      <c r="K226">
        <v>0</v>
      </c>
      <c r="L226">
        <v>2024</v>
      </c>
    </row>
    <row r="227" spans="1:12" x14ac:dyDescent="0.25">
      <c r="A227" s="1" t="s">
        <v>262</v>
      </c>
      <c r="B227" s="1" t="s">
        <v>18</v>
      </c>
      <c r="C227">
        <v>45</v>
      </c>
      <c r="D227" s="1" t="s">
        <v>194</v>
      </c>
      <c r="E227">
        <v>49340.5</v>
      </c>
      <c r="F227">
        <v>43353.53</v>
      </c>
      <c r="G227">
        <v>52</v>
      </c>
      <c r="H227">
        <v>26</v>
      </c>
      <c r="I227">
        <v>55758.46</v>
      </c>
      <c r="J227">
        <v>0</v>
      </c>
      <c r="K227">
        <v>1</v>
      </c>
      <c r="L227">
        <v>2024</v>
      </c>
    </row>
    <row r="228" spans="1:12" x14ac:dyDescent="0.25">
      <c r="A228" s="1" t="s">
        <v>263</v>
      </c>
      <c r="B228" s="1" t="s">
        <v>18</v>
      </c>
      <c r="C228">
        <v>5</v>
      </c>
      <c r="D228" s="1" t="s">
        <v>194</v>
      </c>
      <c r="E228">
        <v>7792.06</v>
      </c>
      <c r="F228">
        <v>5153.6400000000003</v>
      </c>
      <c r="G228">
        <v>29</v>
      </c>
      <c r="H228">
        <v>22</v>
      </c>
      <c r="I228">
        <v>76074.509999999995</v>
      </c>
      <c r="J228">
        <v>682.24</v>
      </c>
      <c r="K228">
        <v>0</v>
      </c>
      <c r="L228">
        <v>2024</v>
      </c>
    </row>
    <row r="229" spans="1:12" x14ac:dyDescent="0.25">
      <c r="A229" s="1" t="s">
        <v>264</v>
      </c>
      <c r="B229" s="1" t="s">
        <v>16</v>
      </c>
      <c r="C229">
        <v>14</v>
      </c>
      <c r="D229" s="1" t="s">
        <v>194</v>
      </c>
      <c r="E229">
        <v>18986.21</v>
      </c>
      <c r="F229">
        <v>18078.8</v>
      </c>
      <c r="G229">
        <v>41</v>
      </c>
      <c r="H229">
        <v>0</v>
      </c>
      <c r="I229">
        <v>28972.73</v>
      </c>
      <c r="J229">
        <v>6399.28</v>
      </c>
      <c r="K229">
        <v>0</v>
      </c>
      <c r="L229">
        <v>2024</v>
      </c>
    </row>
    <row r="230" spans="1:12" x14ac:dyDescent="0.25">
      <c r="A230" s="1" t="s">
        <v>265</v>
      </c>
      <c r="B230" s="1" t="s">
        <v>12</v>
      </c>
      <c r="C230">
        <v>48</v>
      </c>
      <c r="D230" s="1" t="s">
        <v>194</v>
      </c>
      <c r="E230">
        <v>31388.65</v>
      </c>
      <c r="F230">
        <v>22690.47</v>
      </c>
      <c r="G230">
        <v>42</v>
      </c>
      <c r="H230">
        <v>33</v>
      </c>
      <c r="I230">
        <v>6599.95</v>
      </c>
      <c r="J230">
        <v>850.87</v>
      </c>
      <c r="K230">
        <v>0</v>
      </c>
      <c r="L230">
        <v>2024</v>
      </c>
    </row>
    <row r="231" spans="1:12" x14ac:dyDescent="0.25">
      <c r="A231" s="1" t="s">
        <v>266</v>
      </c>
      <c r="B231" s="1" t="s">
        <v>18</v>
      </c>
      <c r="C231">
        <v>90</v>
      </c>
      <c r="D231" s="1" t="s">
        <v>194</v>
      </c>
      <c r="E231">
        <v>69908.649999999994</v>
      </c>
      <c r="F231">
        <v>41249.32</v>
      </c>
      <c r="G231">
        <v>30</v>
      </c>
      <c r="H231">
        <v>1</v>
      </c>
      <c r="I231">
        <v>61684.23</v>
      </c>
      <c r="J231">
        <v>5894.43</v>
      </c>
      <c r="K231">
        <v>0</v>
      </c>
      <c r="L231">
        <v>2024</v>
      </c>
    </row>
    <row r="232" spans="1:12" x14ac:dyDescent="0.25">
      <c r="A232" s="1" t="s">
        <v>267</v>
      </c>
      <c r="B232" s="1" t="s">
        <v>14</v>
      </c>
      <c r="C232">
        <v>106</v>
      </c>
      <c r="D232" s="1" t="s">
        <v>194</v>
      </c>
      <c r="E232">
        <v>96544.53</v>
      </c>
      <c r="F232">
        <v>78791.16</v>
      </c>
      <c r="G232">
        <v>10</v>
      </c>
      <c r="H232">
        <v>4</v>
      </c>
      <c r="I232">
        <v>14063.69</v>
      </c>
      <c r="J232">
        <v>0</v>
      </c>
      <c r="K232">
        <v>0</v>
      </c>
      <c r="L232">
        <v>2024</v>
      </c>
    </row>
    <row r="233" spans="1:12" x14ac:dyDescent="0.25">
      <c r="A233" s="1" t="s">
        <v>268</v>
      </c>
      <c r="B233" s="1" t="s">
        <v>16</v>
      </c>
      <c r="C233">
        <v>14</v>
      </c>
      <c r="D233" s="1" t="s">
        <v>194</v>
      </c>
      <c r="E233">
        <v>29351.08</v>
      </c>
      <c r="F233">
        <v>19982.32</v>
      </c>
      <c r="G233">
        <v>55</v>
      </c>
      <c r="H233">
        <v>37</v>
      </c>
      <c r="I233">
        <v>65259.68</v>
      </c>
      <c r="J233">
        <v>5617.72</v>
      </c>
      <c r="K233">
        <v>0</v>
      </c>
      <c r="L233">
        <v>2024</v>
      </c>
    </row>
    <row r="234" spans="1:12" x14ac:dyDescent="0.25">
      <c r="A234" s="1" t="s">
        <v>269</v>
      </c>
      <c r="B234" s="1" t="s">
        <v>18</v>
      </c>
      <c r="C234">
        <v>105</v>
      </c>
      <c r="D234" s="1" t="s">
        <v>194</v>
      </c>
      <c r="E234">
        <v>78572.460000000006</v>
      </c>
      <c r="F234">
        <v>73756.929999999993</v>
      </c>
      <c r="G234">
        <v>35</v>
      </c>
      <c r="H234">
        <v>14</v>
      </c>
      <c r="I234">
        <v>19481.13</v>
      </c>
      <c r="J234">
        <v>0</v>
      </c>
      <c r="K234">
        <v>0</v>
      </c>
      <c r="L234">
        <v>2024</v>
      </c>
    </row>
    <row r="235" spans="1:12" x14ac:dyDescent="0.25">
      <c r="A235" s="1" t="s">
        <v>270</v>
      </c>
      <c r="B235" s="1" t="s">
        <v>16</v>
      </c>
      <c r="C235">
        <v>31</v>
      </c>
      <c r="D235" s="1" t="s">
        <v>22</v>
      </c>
      <c r="E235">
        <v>38593.300000000003</v>
      </c>
      <c r="F235">
        <v>26679.3</v>
      </c>
      <c r="G235">
        <v>28</v>
      </c>
      <c r="H235">
        <v>53</v>
      </c>
      <c r="I235">
        <v>45840.12</v>
      </c>
      <c r="J235">
        <v>6527.53</v>
      </c>
      <c r="K235">
        <v>0</v>
      </c>
      <c r="L235">
        <v>2024</v>
      </c>
    </row>
    <row r="236" spans="1:12" x14ac:dyDescent="0.25">
      <c r="A236" s="1" t="s">
        <v>271</v>
      </c>
      <c r="B236" s="1" t="s">
        <v>17</v>
      </c>
      <c r="C236">
        <v>29</v>
      </c>
      <c r="D236" s="1" t="s">
        <v>22</v>
      </c>
      <c r="E236">
        <v>41908.36</v>
      </c>
      <c r="F236">
        <v>30266.89</v>
      </c>
      <c r="G236">
        <v>38</v>
      </c>
      <c r="H236">
        <v>13</v>
      </c>
      <c r="I236">
        <v>41449.17</v>
      </c>
      <c r="J236">
        <v>0</v>
      </c>
      <c r="K236">
        <v>0</v>
      </c>
      <c r="L236">
        <v>2024</v>
      </c>
    </row>
    <row r="237" spans="1:12" x14ac:dyDescent="0.25">
      <c r="A237" s="1" t="s">
        <v>272</v>
      </c>
      <c r="B237" s="1" t="s">
        <v>17</v>
      </c>
      <c r="C237">
        <v>82</v>
      </c>
      <c r="D237" s="1" t="s">
        <v>22</v>
      </c>
      <c r="E237">
        <v>83813.929999999993</v>
      </c>
      <c r="F237">
        <v>79283.11</v>
      </c>
      <c r="G237">
        <v>46</v>
      </c>
      <c r="H237">
        <v>17</v>
      </c>
      <c r="I237">
        <v>13528.68</v>
      </c>
      <c r="J237">
        <v>5386.34</v>
      </c>
      <c r="K237">
        <v>0</v>
      </c>
      <c r="L237">
        <v>2024</v>
      </c>
    </row>
    <row r="238" spans="1:12" x14ac:dyDescent="0.25">
      <c r="A238" s="1" t="s">
        <v>273</v>
      </c>
      <c r="B238" s="1" t="s">
        <v>17</v>
      </c>
      <c r="C238">
        <v>103</v>
      </c>
      <c r="D238" s="1" t="s">
        <v>22</v>
      </c>
      <c r="E238">
        <v>65555.679999999993</v>
      </c>
      <c r="F238">
        <v>63873.45</v>
      </c>
      <c r="G238">
        <v>10</v>
      </c>
      <c r="H238">
        <v>29</v>
      </c>
      <c r="I238">
        <v>32655.43</v>
      </c>
      <c r="J238">
        <v>0</v>
      </c>
      <c r="K238">
        <v>0</v>
      </c>
      <c r="L238">
        <v>2024</v>
      </c>
    </row>
    <row r="239" spans="1:12" x14ac:dyDescent="0.25">
      <c r="A239" s="1" t="s">
        <v>274</v>
      </c>
      <c r="B239" s="1" t="s">
        <v>17</v>
      </c>
      <c r="C239">
        <v>40</v>
      </c>
      <c r="D239" s="1" t="s">
        <v>22</v>
      </c>
      <c r="E239">
        <v>42436.81</v>
      </c>
      <c r="F239">
        <v>31664.799999999999</v>
      </c>
      <c r="G239">
        <v>25</v>
      </c>
      <c r="H239">
        <v>8</v>
      </c>
      <c r="I239">
        <v>45122.53</v>
      </c>
      <c r="J239">
        <v>7449.6</v>
      </c>
      <c r="K239">
        <v>1</v>
      </c>
      <c r="L239">
        <v>2024</v>
      </c>
    </row>
    <row r="240" spans="1:12" x14ac:dyDescent="0.25">
      <c r="A240" s="1" t="s">
        <v>275</v>
      </c>
      <c r="B240" s="1" t="s">
        <v>12</v>
      </c>
      <c r="C240">
        <v>4</v>
      </c>
      <c r="D240" s="1" t="s">
        <v>22</v>
      </c>
      <c r="E240">
        <v>4000</v>
      </c>
      <c r="F240">
        <v>2603.0500000000002</v>
      </c>
      <c r="G240">
        <v>39</v>
      </c>
      <c r="H240">
        <v>8</v>
      </c>
      <c r="I240">
        <v>0</v>
      </c>
      <c r="J240">
        <v>11062.16</v>
      </c>
      <c r="K240">
        <v>0</v>
      </c>
      <c r="L240">
        <v>2024</v>
      </c>
    </row>
    <row r="241" spans="1:12" x14ac:dyDescent="0.25">
      <c r="A241" s="1" t="s">
        <v>276</v>
      </c>
      <c r="B241" s="1" t="s">
        <v>12</v>
      </c>
      <c r="C241">
        <v>58</v>
      </c>
      <c r="D241" s="1" t="s">
        <v>22</v>
      </c>
      <c r="E241">
        <v>55611.76</v>
      </c>
      <c r="F241">
        <v>45668.35</v>
      </c>
      <c r="G241">
        <v>28</v>
      </c>
      <c r="H241">
        <v>0</v>
      </c>
      <c r="I241">
        <v>32014.99</v>
      </c>
      <c r="J241">
        <v>2428.52</v>
      </c>
      <c r="K241">
        <v>0</v>
      </c>
      <c r="L241">
        <v>2024</v>
      </c>
    </row>
    <row r="242" spans="1:12" x14ac:dyDescent="0.25">
      <c r="A242" s="1" t="s">
        <v>277</v>
      </c>
      <c r="B242" s="1" t="s">
        <v>12</v>
      </c>
      <c r="C242">
        <v>117</v>
      </c>
      <c r="D242" s="1" t="s">
        <v>22</v>
      </c>
      <c r="E242">
        <v>89217.89</v>
      </c>
      <c r="F242">
        <v>73338.289999999994</v>
      </c>
      <c r="G242">
        <v>48</v>
      </c>
      <c r="H242">
        <v>55</v>
      </c>
      <c r="I242">
        <v>47451.32</v>
      </c>
      <c r="J242">
        <v>9056.85</v>
      </c>
      <c r="K242">
        <v>0</v>
      </c>
      <c r="L242">
        <v>2024</v>
      </c>
    </row>
    <row r="243" spans="1:12" x14ac:dyDescent="0.25">
      <c r="A243" s="1" t="s">
        <v>278</v>
      </c>
      <c r="B243" s="1" t="s">
        <v>15</v>
      </c>
      <c r="C243">
        <v>109</v>
      </c>
      <c r="D243" s="1" t="s">
        <v>22</v>
      </c>
      <c r="E243">
        <v>73056.639999999999</v>
      </c>
      <c r="F243">
        <v>55233.279999999999</v>
      </c>
      <c r="G243">
        <v>27</v>
      </c>
      <c r="H243">
        <v>23</v>
      </c>
      <c r="I243">
        <v>4297.0200000000004</v>
      </c>
      <c r="J243">
        <v>241.83</v>
      </c>
      <c r="K243">
        <v>0</v>
      </c>
      <c r="L243">
        <v>2024</v>
      </c>
    </row>
    <row r="244" spans="1:12" x14ac:dyDescent="0.25">
      <c r="A244" s="1" t="s">
        <v>279</v>
      </c>
      <c r="B244" s="1" t="s">
        <v>14</v>
      </c>
      <c r="C244">
        <v>14</v>
      </c>
      <c r="D244" s="1" t="s">
        <v>22</v>
      </c>
      <c r="E244">
        <v>18271.669999999998</v>
      </c>
      <c r="F244">
        <v>14353.07</v>
      </c>
      <c r="G244">
        <v>49</v>
      </c>
      <c r="H244">
        <v>26</v>
      </c>
      <c r="I244">
        <v>72917.710000000006</v>
      </c>
      <c r="J244">
        <v>4293.76</v>
      </c>
      <c r="K244">
        <v>0</v>
      </c>
      <c r="L244">
        <v>2024</v>
      </c>
    </row>
    <row r="245" spans="1:12" x14ac:dyDescent="0.25">
      <c r="A245" s="1" t="s">
        <v>280</v>
      </c>
      <c r="B245" s="1" t="s">
        <v>16</v>
      </c>
      <c r="C245">
        <v>23</v>
      </c>
      <c r="D245" s="1" t="s">
        <v>22</v>
      </c>
      <c r="E245">
        <v>17205.259999999998</v>
      </c>
      <c r="F245">
        <v>14382.52</v>
      </c>
      <c r="G245">
        <v>33</v>
      </c>
      <c r="H245">
        <v>52</v>
      </c>
      <c r="I245">
        <v>24611.97</v>
      </c>
      <c r="J245">
        <v>3657.55</v>
      </c>
      <c r="K245">
        <v>0</v>
      </c>
      <c r="L245">
        <v>2024</v>
      </c>
    </row>
    <row r="246" spans="1:12" x14ac:dyDescent="0.25">
      <c r="A246" s="1" t="s">
        <v>281</v>
      </c>
      <c r="B246" s="1" t="s">
        <v>16</v>
      </c>
      <c r="C246">
        <v>102</v>
      </c>
      <c r="D246" s="1" t="s">
        <v>22</v>
      </c>
      <c r="E246">
        <v>80756.95</v>
      </c>
      <c r="F246">
        <v>77732.429999999993</v>
      </c>
      <c r="G246">
        <v>15</v>
      </c>
      <c r="H246">
        <v>74</v>
      </c>
      <c r="I246">
        <v>46210.66</v>
      </c>
      <c r="J246">
        <v>7594.08</v>
      </c>
      <c r="K246">
        <v>1</v>
      </c>
      <c r="L246">
        <v>2024</v>
      </c>
    </row>
    <row r="247" spans="1:12" x14ac:dyDescent="0.25">
      <c r="A247" s="1" t="s">
        <v>282</v>
      </c>
      <c r="B247" s="1" t="s">
        <v>14</v>
      </c>
      <c r="C247">
        <v>74</v>
      </c>
      <c r="D247" s="1" t="s">
        <v>22</v>
      </c>
      <c r="E247">
        <v>74742.039999999994</v>
      </c>
      <c r="F247">
        <v>46565.279999999999</v>
      </c>
      <c r="G247">
        <v>51</v>
      </c>
      <c r="H247">
        <v>47</v>
      </c>
      <c r="I247">
        <v>30752.33</v>
      </c>
      <c r="J247">
        <v>3435.93</v>
      </c>
      <c r="K247">
        <v>0</v>
      </c>
      <c r="L247">
        <v>2024</v>
      </c>
    </row>
    <row r="248" spans="1:12" x14ac:dyDescent="0.25">
      <c r="A248" s="1" t="s">
        <v>283</v>
      </c>
      <c r="B248" s="1" t="s">
        <v>16</v>
      </c>
      <c r="C248">
        <v>67</v>
      </c>
      <c r="D248" s="1" t="s">
        <v>22</v>
      </c>
      <c r="E248">
        <v>56386.39</v>
      </c>
      <c r="F248">
        <v>33852.29</v>
      </c>
      <c r="G248">
        <v>44</v>
      </c>
      <c r="H248">
        <v>0</v>
      </c>
      <c r="I248">
        <v>68745.5</v>
      </c>
      <c r="J248">
        <v>1354.84</v>
      </c>
      <c r="K248">
        <v>0</v>
      </c>
      <c r="L248">
        <v>2024</v>
      </c>
    </row>
    <row r="249" spans="1:12" x14ac:dyDescent="0.25">
      <c r="A249" s="1" t="s">
        <v>284</v>
      </c>
      <c r="B249" s="1" t="s">
        <v>17</v>
      </c>
      <c r="C249">
        <v>110</v>
      </c>
      <c r="D249" s="1" t="s">
        <v>22</v>
      </c>
      <c r="E249">
        <v>80534.759999999995</v>
      </c>
      <c r="F249">
        <v>64214.35</v>
      </c>
      <c r="G249">
        <v>33</v>
      </c>
      <c r="H249">
        <v>2</v>
      </c>
      <c r="I249">
        <v>55151.61</v>
      </c>
      <c r="J249">
        <v>4060.05</v>
      </c>
      <c r="K249">
        <v>0</v>
      </c>
      <c r="L249">
        <v>2024</v>
      </c>
    </row>
    <row r="250" spans="1:12" x14ac:dyDescent="0.25">
      <c r="A250" s="1" t="s">
        <v>285</v>
      </c>
      <c r="B250" s="1" t="s">
        <v>17</v>
      </c>
      <c r="C250">
        <v>95</v>
      </c>
      <c r="D250" s="1" t="s">
        <v>22</v>
      </c>
      <c r="E250">
        <v>81753.27</v>
      </c>
      <c r="F250">
        <v>64530.11</v>
      </c>
      <c r="G250">
        <v>38</v>
      </c>
      <c r="H250">
        <v>17</v>
      </c>
      <c r="I250">
        <v>53543.45</v>
      </c>
      <c r="J250">
        <v>0</v>
      </c>
      <c r="K250">
        <v>0</v>
      </c>
      <c r="L250">
        <v>2024</v>
      </c>
    </row>
    <row r="251" spans="1:12" x14ac:dyDescent="0.25">
      <c r="A251" s="1" t="s">
        <v>286</v>
      </c>
      <c r="B251" s="1" t="s">
        <v>12</v>
      </c>
      <c r="C251">
        <v>119</v>
      </c>
      <c r="D251" s="1" t="s">
        <v>22</v>
      </c>
      <c r="E251">
        <v>85435.29</v>
      </c>
      <c r="F251">
        <v>80330.28</v>
      </c>
      <c r="G251">
        <v>45</v>
      </c>
      <c r="H251">
        <v>19</v>
      </c>
      <c r="I251">
        <v>33020.22</v>
      </c>
      <c r="J251">
        <v>5602.87</v>
      </c>
      <c r="K251">
        <v>0</v>
      </c>
      <c r="L251">
        <v>2024</v>
      </c>
    </row>
    <row r="252" spans="1:12" x14ac:dyDescent="0.25">
      <c r="A252" s="1" t="s">
        <v>287</v>
      </c>
      <c r="B252" s="1" t="s">
        <v>12</v>
      </c>
      <c r="C252">
        <v>79</v>
      </c>
      <c r="D252" s="1" t="s">
        <v>22</v>
      </c>
      <c r="E252">
        <v>76873.39</v>
      </c>
      <c r="F252">
        <v>46897.8</v>
      </c>
      <c r="G252">
        <v>66</v>
      </c>
      <c r="H252">
        <v>36</v>
      </c>
      <c r="I252">
        <v>42613.62</v>
      </c>
      <c r="J252">
        <v>0</v>
      </c>
      <c r="K252">
        <v>0</v>
      </c>
      <c r="L252">
        <v>2024</v>
      </c>
    </row>
    <row r="253" spans="1:12" x14ac:dyDescent="0.25">
      <c r="A253" s="1" t="s">
        <v>288</v>
      </c>
      <c r="B253" s="1" t="s">
        <v>14</v>
      </c>
      <c r="C253">
        <v>87</v>
      </c>
      <c r="D253" s="1" t="s">
        <v>22</v>
      </c>
      <c r="E253">
        <v>63964.14</v>
      </c>
      <c r="F253">
        <v>56469.34</v>
      </c>
      <c r="G253">
        <v>14</v>
      </c>
      <c r="H253">
        <v>34</v>
      </c>
      <c r="I253">
        <v>15037.21</v>
      </c>
      <c r="J253">
        <v>0</v>
      </c>
      <c r="K253">
        <v>0</v>
      </c>
      <c r="L253">
        <v>2024</v>
      </c>
    </row>
    <row r="254" spans="1:12" x14ac:dyDescent="0.25">
      <c r="A254" s="1" t="s">
        <v>289</v>
      </c>
      <c r="B254" s="1" t="s">
        <v>16</v>
      </c>
      <c r="C254">
        <v>14</v>
      </c>
      <c r="D254" s="1" t="s">
        <v>22</v>
      </c>
      <c r="E254">
        <v>7229.74</v>
      </c>
      <c r="F254">
        <v>6569.45</v>
      </c>
      <c r="G254">
        <v>38</v>
      </c>
      <c r="H254">
        <v>62</v>
      </c>
      <c r="I254">
        <v>72135.19</v>
      </c>
      <c r="J254">
        <v>277.26</v>
      </c>
      <c r="K254">
        <v>0</v>
      </c>
      <c r="L254">
        <v>2024</v>
      </c>
    </row>
    <row r="255" spans="1:12" x14ac:dyDescent="0.25">
      <c r="A255" s="1" t="s">
        <v>290</v>
      </c>
      <c r="B255" s="1" t="s">
        <v>16</v>
      </c>
      <c r="C255">
        <v>21</v>
      </c>
      <c r="D255" s="1" t="s">
        <v>22</v>
      </c>
      <c r="E255">
        <v>26383.49</v>
      </c>
      <c r="F255">
        <v>21857.54</v>
      </c>
      <c r="G255">
        <v>44</v>
      </c>
      <c r="H255">
        <v>7</v>
      </c>
      <c r="I255">
        <v>72252.33</v>
      </c>
      <c r="J255">
        <v>8621.93</v>
      </c>
      <c r="K255">
        <v>0</v>
      </c>
      <c r="L255">
        <v>2024</v>
      </c>
    </row>
    <row r="256" spans="1:12" x14ac:dyDescent="0.25">
      <c r="A256" s="1" t="s">
        <v>291</v>
      </c>
      <c r="B256" s="1" t="s">
        <v>14</v>
      </c>
      <c r="C256">
        <v>40</v>
      </c>
      <c r="D256" s="1" t="s">
        <v>22</v>
      </c>
      <c r="E256">
        <v>35217.25</v>
      </c>
      <c r="F256">
        <v>27138.880000000001</v>
      </c>
      <c r="G256">
        <v>10</v>
      </c>
      <c r="H256">
        <v>26</v>
      </c>
      <c r="I256">
        <v>5536.36</v>
      </c>
      <c r="J256">
        <v>730.31</v>
      </c>
      <c r="K256">
        <v>0</v>
      </c>
      <c r="L256">
        <v>2024</v>
      </c>
    </row>
    <row r="257" spans="1:12" x14ac:dyDescent="0.25">
      <c r="A257" s="1" t="s">
        <v>292</v>
      </c>
      <c r="B257" s="1" t="s">
        <v>17</v>
      </c>
      <c r="C257">
        <v>67</v>
      </c>
      <c r="D257" s="1" t="s">
        <v>22</v>
      </c>
      <c r="E257">
        <v>58556.67</v>
      </c>
      <c r="F257">
        <v>40222.660000000003</v>
      </c>
      <c r="G257">
        <v>59</v>
      </c>
      <c r="H257">
        <v>48</v>
      </c>
      <c r="I257">
        <v>58850.98</v>
      </c>
      <c r="J257">
        <v>10977.17</v>
      </c>
      <c r="K257">
        <v>1</v>
      </c>
      <c r="L257">
        <v>2024</v>
      </c>
    </row>
    <row r="258" spans="1:12" x14ac:dyDescent="0.25">
      <c r="A258" s="1" t="s">
        <v>293</v>
      </c>
      <c r="B258" s="1" t="s">
        <v>14</v>
      </c>
      <c r="C258">
        <v>11</v>
      </c>
      <c r="D258" s="1" t="s">
        <v>22</v>
      </c>
      <c r="E258">
        <v>15146.68</v>
      </c>
      <c r="F258">
        <v>9140.7800000000007</v>
      </c>
      <c r="G258">
        <v>64</v>
      </c>
      <c r="H258">
        <v>33</v>
      </c>
      <c r="I258">
        <v>66762.460000000006</v>
      </c>
      <c r="J258">
        <v>11201.97</v>
      </c>
      <c r="K258">
        <v>0</v>
      </c>
      <c r="L258">
        <v>2024</v>
      </c>
    </row>
    <row r="259" spans="1:12" x14ac:dyDescent="0.25">
      <c r="A259" s="1" t="s">
        <v>294</v>
      </c>
      <c r="B259" s="1" t="s">
        <v>18</v>
      </c>
      <c r="C259">
        <v>11</v>
      </c>
      <c r="D259" s="1" t="s">
        <v>22</v>
      </c>
      <c r="E259">
        <v>28956.58</v>
      </c>
      <c r="F259">
        <v>28442.47</v>
      </c>
      <c r="G259">
        <v>66</v>
      </c>
      <c r="H259">
        <v>42</v>
      </c>
      <c r="I259">
        <v>35762.230000000003</v>
      </c>
      <c r="J259">
        <v>0</v>
      </c>
      <c r="K259">
        <v>0</v>
      </c>
      <c r="L259">
        <v>2024</v>
      </c>
    </row>
    <row r="260" spans="1:12" x14ac:dyDescent="0.25">
      <c r="A260" s="1" t="s">
        <v>295</v>
      </c>
      <c r="B260" s="1" t="s">
        <v>16</v>
      </c>
      <c r="C260">
        <v>35</v>
      </c>
      <c r="D260" s="1" t="s">
        <v>22</v>
      </c>
      <c r="E260">
        <v>35395.74</v>
      </c>
      <c r="F260">
        <v>20689.689999999999</v>
      </c>
      <c r="G260">
        <v>31</v>
      </c>
      <c r="H260">
        <v>24</v>
      </c>
      <c r="I260">
        <v>44588.51</v>
      </c>
      <c r="J260">
        <v>8068.39</v>
      </c>
      <c r="K260">
        <v>0</v>
      </c>
      <c r="L260">
        <v>2024</v>
      </c>
    </row>
    <row r="261" spans="1:12" x14ac:dyDescent="0.25">
      <c r="A261" s="1" t="s">
        <v>296</v>
      </c>
      <c r="B261" s="1" t="s">
        <v>18</v>
      </c>
      <c r="C261">
        <v>75</v>
      </c>
      <c r="D261" s="1" t="s">
        <v>22</v>
      </c>
      <c r="E261">
        <v>40384.83</v>
      </c>
      <c r="F261">
        <v>34282</v>
      </c>
      <c r="G261">
        <v>10</v>
      </c>
      <c r="H261">
        <v>19</v>
      </c>
      <c r="I261">
        <v>84806.9</v>
      </c>
      <c r="J261">
        <v>12431.35</v>
      </c>
      <c r="K261">
        <v>0</v>
      </c>
      <c r="L261">
        <v>2024</v>
      </c>
    </row>
    <row r="262" spans="1:12" x14ac:dyDescent="0.25">
      <c r="A262" s="1" t="s">
        <v>297</v>
      </c>
      <c r="B262" s="1" t="s">
        <v>17</v>
      </c>
      <c r="C262">
        <v>68</v>
      </c>
      <c r="D262" s="1" t="s">
        <v>22</v>
      </c>
      <c r="E262">
        <v>61514.57</v>
      </c>
      <c r="F262">
        <v>59198.879999999997</v>
      </c>
      <c r="G262">
        <v>34</v>
      </c>
      <c r="H262">
        <v>47</v>
      </c>
      <c r="I262">
        <v>78095.19</v>
      </c>
      <c r="J262">
        <v>0</v>
      </c>
      <c r="K262">
        <v>0</v>
      </c>
      <c r="L262">
        <v>2024</v>
      </c>
    </row>
    <row r="263" spans="1:12" x14ac:dyDescent="0.25">
      <c r="A263" s="1" t="s">
        <v>298</v>
      </c>
      <c r="B263" s="1" t="s">
        <v>17</v>
      </c>
      <c r="C263">
        <v>115</v>
      </c>
      <c r="D263" s="1" t="s">
        <v>22</v>
      </c>
      <c r="E263">
        <v>104223.54</v>
      </c>
      <c r="F263">
        <v>81613.95</v>
      </c>
      <c r="G263">
        <v>31</v>
      </c>
      <c r="H263">
        <v>16</v>
      </c>
      <c r="I263">
        <v>44057.9</v>
      </c>
      <c r="J263">
        <v>1660.28</v>
      </c>
      <c r="K263">
        <v>0</v>
      </c>
      <c r="L263">
        <v>2024</v>
      </c>
    </row>
    <row r="264" spans="1:12" x14ac:dyDescent="0.25">
      <c r="A264" s="1" t="s">
        <v>299</v>
      </c>
      <c r="B264" s="1" t="s">
        <v>12</v>
      </c>
      <c r="C264">
        <v>36</v>
      </c>
      <c r="D264" s="1" t="s">
        <v>22</v>
      </c>
      <c r="E264">
        <v>55472.87</v>
      </c>
      <c r="F264">
        <v>47139.97</v>
      </c>
      <c r="G264">
        <v>48</v>
      </c>
      <c r="H264">
        <v>28</v>
      </c>
      <c r="I264">
        <v>12849.33</v>
      </c>
      <c r="J264">
        <v>5065.54</v>
      </c>
      <c r="K264">
        <v>0</v>
      </c>
      <c r="L264">
        <v>2024</v>
      </c>
    </row>
    <row r="265" spans="1:12" x14ac:dyDescent="0.25">
      <c r="A265" s="1" t="s">
        <v>300</v>
      </c>
      <c r="B265" s="1" t="s">
        <v>12</v>
      </c>
      <c r="C265">
        <v>60</v>
      </c>
      <c r="D265" s="1" t="s">
        <v>22</v>
      </c>
      <c r="E265">
        <v>57302.35</v>
      </c>
      <c r="F265">
        <v>45968.08</v>
      </c>
      <c r="G265">
        <v>46</v>
      </c>
      <c r="H265">
        <v>20</v>
      </c>
      <c r="I265">
        <v>40232.85</v>
      </c>
      <c r="J265">
        <v>6790.25</v>
      </c>
      <c r="K265">
        <v>0</v>
      </c>
      <c r="L265">
        <v>2024</v>
      </c>
    </row>
    <row r="266" spans="1:12" x14ac:dyDescent="0.25">
      <c r="A266" s="1" t="s">
        <v>301</v>
      </c>
      <c r="B266" s="1" t="s">
        <v>18</v>
      </c>
      <c r="C266">
        <v>118</v>
      </c>
      <c r="D266" s="1" t="s">
        <v>22</v>
      </c>
      <c r="E266">
        <v>86059.49</v>
      </c>
      <c r="F266">
        <v>86099.78</v>
      </c>
      <c r="G266">
        <v>42</v>
      </c>
      <c r="H266">
        <v>44</v>
      </c>
      <c r="I266">
        <v>46933.06</v>
      </c>
      <c r="J266">
        <v>0</v>
      </c>
      <c r="K266">
        <v>0</v>
      </c>
      <c r="L266">
        <v>2024</v>
      </c>
    </row>
    <row r="267" spans="1:12" x14ac:dyDescent="0.25">
      <c r="A267" s="1" t="s">
        <v>302</v>
      </c>
      <c r="B267" s="1" t="s">
        <v>12</v>
      </c>
      <c r="C267">
        <v>17</v>
      </c>
      <c r="D267" s="1" t="s">
        <v>22</v>
      </c>
      <c r="E267">
        <v>22966.61</v>
      </c>
      <c r="F267">
        <v>17728.91</v>
      </c>
      <c r="G267">
        <v>66</v>
      </c>
      <c r="H267">
        <v>27</v>
      </c>
      <c r="I267">
        <v>32509.25</v>
      </c>
      <c r="J267">
        <v>7058.22</v>
      </c>
      <c r="K267">
        <v>1</v>
      </c>
      <c r="L267">
        <v>2024</v>
      </c>
    </row>
    <row r="268" spans="1:12" x14ac:dyDescent="0.25">
      <c r="A268" s="1" t="s">
        <v>303</v>
      </c>
      <c r="B268" s="1" t="s">
        <v>17</v>
      </c>
      <c r="C268">
        <v>87</v>
      </c>
      <c r="D268" s="1" t="s">
        <v>22</v>
      </c>
      <c r="E268">
        <v>61965.82</v>
      </c>
      <c r="F268">
        <v>50568.18</v>
      </c>
      <c r="G268">
        <v>25</v>
      </c>
      <c r="H268">
        <v>32</v>
      </c>
      <c r="I268">
        <v>34566.75</v>
      </c>
      <c r="J268">
        <v>3170.82</v>
      </c>
      <c r="K268">
        <v>0</v>
      </c>
      <c r="L268">
        <v>2024</v>
      </c>
    </row>
    <row r="269" spans="1:12" x14ac:dyDescent="0.25">
      <c r="A269" s="1" t="s">
        <v>304</v>
      </c>
      <c r="B269" s="1" t="s">
        <v>17</v>
      </c>
      <c r="C269">
        <v>106</v>
      </c>
      <c r="D269" s="1" t="s">
        <v>22</v>
      </c>
      <c r="E269">
        <v>81722.59</v>
      </c>
      <c r="F269">
        <v>73826.460000000006</v>
      </c>
      <c r="G269">
        <v>52</v>
      </c>
      <c r="H269">
        <v>0</v>
      </c>
      <c r="I269">
        <v>49560.21</v>
      </c>
      <c r="J269">
        <v>175.65</v>
      </c>
      <c r="K269">
        <v>0</v>
      </c>
      <c r="L269">
        <v>2024</v>
      </c>
    </row>
    <row r="270" spans="1:12" x14ac:dyDescent="0.25">
      <c r="A270" s="1" t="s">
        <v>305</v>
      </c>
      <c r="B270" s="1" t="s">
        <v>14</v>
      </c>
      <c r="C270">
        <v>24</v>
      </c>
      <c r="D270" s="1" t="s">
        <v>22</v>
      </c>
      <c r="E270">
        <v>38196.93</v>
      </c>
      <c r="F270">
        <v>33490.61</v>
      </c>
      <c r="G270">
        <v>42</v>
      </c>
      <c r="H270">
        <v>17</v>
      </c>
      <c r="I270">
        <v>67375.31</v>
      </c>
      <c r="J270">
        <v>7308.8</v>
      </c>
      <c r="K270">
        <v>0</v>
      </c>
      <c r="L270">
        <v>2024</v>
      </c>
    </row>
    <row r="271" spans="1:12" x14ac:dyDescent="0.25">
      <c r="A271" s="1" t="s">
        <v>306</v>
      </c>
      <c r="B271" s="1" t="s">
        <v>12</v>
      </c>
      <c r="C271">
        <v>40</v>
      </c>
      <c r="D271" s="1" t="s">
        <v>22</v>
      </c>
      <c r="E271">
        <v>29447.95</v>
      </c>
      <c r="F271">
        <v>17559.509999999998</v>
      </c>
      <c r="G271">
        <v>33</v>
      </c>
      <c r="H271">
        <v>43</v>
      </c>
      <c r="I271">
        <v>6995.62</v>
      </c>
      <c r="J271">
        <v>6412.38</v>
      </c>
      <c r="K271">
        <v>0</v>
      </c>
      <c r="L271">
        <v>2024</v>
      </c>
    </row>
    <row r="272" spans="1:12" x14ac:dyDescent="0.25">
      <c r="A272" s="1" t="s">
        <v>307</v>
      </c>
      <c r="B272" s="1" t="s">
        <v>15</v>
      </c>
      <c r="C272">
        <v>75</v>
      </c>
      <c r="D272" s="1" t="s">
        <v>22</v>
      </c>
      <c r="E272">
        <v>60958.080000000002</v>
      </c>
      <c r="F272">
        <v>61771.26</v>
      </c>
      <c r="G272">
        <v>31</v>
      </c>
      <c r="H272">
        <v>35</v>
      </c>
      <c r="I272">
        <v>39198.74</v>
      </c>
      <c r="J272">
        <v>0</v>
      </c>
      <c r="K272">
        <v>0</v>
      </c>
      <c r="L272">
        <v>2024</v>
      </c>
    </row>
    <row r="273" spans="1:12" x14ac:dyDescent="0.25">
      <c r="A273" s="1" t="s">
        <v>308</v>
      </c>
      <c r="B273" s="1" t="s">
        <v>15</v>
      </c>
      <c r="C273">
        <v>97</v>
      </c>
      <c r="D273" s="1" t="s">
        <v>22</v>
      </c>
      <c r="E273">
        <v>80163.39</v>
      </c>
      <c r="F273">
        <v>60875.28</v>
      </c>
      <c r="G273">
        <v>35</v>
      </c>
      <c r="H273">
        <v>65</v>
      </c>
      <c r="I273">
        <v>23512.880000000001</v>
      </c>
      <c r="J273">
        <v>10257.81</v>
      </c>
      <c r="K273">
        <v>0</v>
      </c>
      <c r="L273">
        <v>2024</v>
      </c>
    </row>
    <row r="274" spans="1:12" x14ac:dyDescent="0.25">
      <c r="A274" s="1" t="s">
        <v>309</v>
      </c>
      <c r="B274" s="1" t="s">
        <v>17</v>
      </c>
      <c r="C274">
        <v>46</v>
      </c>
      <c r="D274" s="1" t="s">
        <v>22</v>
      </c>
      <c r="E274">
        <v>50421.62</v>
      </c>
      <c r="F274">
        <v>34834.97</v>
      </c>
      <c r="G274">
        <v>34</v>
      </c>
      <c r="H274">
        <v>17</v>
      </c>
      <c r="I274">
        <v>31845.81</v>
      </c>
      <c r="J274">
        <v>0</v>
      </c>
      <c r="K274">
        <v>0</v>
      </c>
      <c r="L274">
        <v>2024</v>
      </c>
    </row>
    <row r="275" spans="1:12" x14ac:dyDescent="0.25">
      <c r="A275" s="1" t="s">
        <v>310</v>
      </c>
      <c r="B275" s="1" t="s">
        <v>14</v>
      </c>
      <c r="C275">
        <v>59</v>
      </c>
      <c r="D275" s="1" t="s">
        <v>22</v>
      </c>
      <c r="E275">
        <v>58745.5</v>
      </c>
      <c r="F275">
        <v>39147.760000000002</v>
      </c>
      <c r="G275">
        <v>68</v>
      </c>
      <c r="H275">
        <v>20</v>
      </c>
      <c r="I275">
        <v>42065.26</v>
      </c>
      <c r="J275">
        <v>0</v>
      </c>
      <c r="K275">
        <v>0</v>
      </c>
      <c r="L275">
        <v>2024</v>
      </c>
    </row>
    <row r="276" spans="1:12" x14ac:dyDescent="0.25">
      <c r="A276" s="1" t="s">
        <v>311</v>
      </c>
      <c r="B276" s="1" t="s">
        <v>14</v>
      </c>
      <c r="C276">
        <v>12</v>
      </c>
      <c r="D276" s="1" t="s">
        <v>22</v>
      </c>
      <c r="E276">
        <v>19494.23</v>
      </c>
      <c r="F276">
        <v>19771.07</v>
      </c>
      <c r="G276">
        <v>40</v>
      </c>
      <c r="H276">
        <v>54</v>
      </c>
      <c r="I276">
        <v>41996.07</v>
      </c>
      <c r="J276">
        <v>2905.26</v>
      </c>
      <c r="K276">
        <v>0</v>
      </c>
      <c r="L276">
        <v>2024</v>
      </c>
    </row>
    <row r="277" spans="1:12" x14ac:dyDescent="0.25">
      <c r="A277" s="1" t="s">
        <v>312</v>
      </c>
      <c r="B277" s="1" t="s">
        <v>15</v>
      </c>
      <c r="C277">
        <v>66</v>
      </c>
      <c r="D277" s="1" t="s">
        <v>22</v>
      </c>
      <c r="E277">
        <v>54041.93</v>
      </c>
      <c r="F277">
        <v>37123.870000000003</v>
      </c>
      <c r="G277">
        <v>56</v>
      </c>
      <c r="H277">
        <v>30</v>
      </c>
      <c r="I277">
        <v>21346.98</v>
      </c>
      <c r="J277">
        <v>0</v>
      </c>
      <c r="K277">
        <v>0</v>
      </c>
      <c r="L277">
        <v>2024</v>
      </c>
    </row>
    <row r="278" spans="1:12" x14ac:dyDescent="0.25">
      <c r="A278" s="1" t="s">
        <v>313</v>
      </c>
      <c r="B278" s="1" t="s">
        <v>16</v>
      </c>
      <c r="C278">
        <v>27</v>
      </c>
      <c r="D278" s="1" t="s">
        <v>22</v>
      </c>
      <c r="E278">
        <v>24608.400000000001</v>
      </c>
      <c r="F278">
        <v>14852.96</v>
      </c>
      <c r="G278">
        <v>30</v>
      </c>
      <c r="H278">
        <v>38</v>
      </c>
      <c r="I278">
        <v>34530.730000000003</v>
      </c>
      <c r="J278">
        <v>0</v>
      </c>
      <c r="K278">
        <v>0</v>
      </c>
      <c r="L278">
        <v>2024</v>
      </c>
    </row>
    <row r="279" spans="1:12" x14ac:dyDescent="0.25">
      <c r="A279" s="1" t="s">
        <v>314</v>
      </c>
      <c r="B279" s="1" t="s">
        <v>18</v>
      </c>
      <c r="C279">
        <v>13</v>
      </c>
      <c r="D279" s="1" t="s">
        <v>22</v>
      </c>
      <c r="E279">
        <v>5134.38</v>
      </c>
      <c r="F279">
        <v>5138.67</v>
      </c>
      <c r="G279">
        <v>10</v>
      </c>
      <c r="H279">
        <v>36</v>
      </c>
      <c r="I279">
        <v>46622.37</v>
      </c>
      <c r="J279">
        <v>3370.17</v>
      </c>
      <c r="K279">
        <v>0</v>
      </c>
      <c r="L279">
        <v>2024</v>
      </c>
    </row>
    <row r="280" spans="1:12" x14ac:dyDescent="0.25">
      <c r="A280" s="1" t="s">
        <v>315</v>
      </c>
      <c r="B280" s="1" t="s">
        <v>12</v>
      </c>
      <c r="C280">
        <v>20</v>
      </c>
      <c r="D280" s="1" t="s">
        <v>22</v>
      </c>
      <c r="E280">
        <v>31164.1</v>
      </c>
      <c r="F280">
        <v>20072.82</v>
      </c>
      <c r="G280">
        <v>56</v>
      </c>
      <c r="H280">
        <v>47</v>
      </c>
      <c r="I280">
        <v>47129.919999999998</v>
      </c>
      <c r="J280">
        <v>0</v>
      </c>
      <c r="K280">
        <v>0</v>
      </c>
      <c r="L280">
        <v>2024</v>
      </c>
    </row>
    <row r="281" spans="1:12" x14ac:dyDescent="0.25">
      <c r="A281" s="1" t="s">
        <v>316</v>
      </c>
      <c r="B281" s="1" t="s">
        <v>12</v>
      </c>
      <c r="C281">
        <v>109</v>
      </c>
      <c r="D281" s="1" t="s">
        <v>22</v>
      </c>
      <c r="E281">
        <v>88248.45</v>
      </c>
      <c r="F281">
        <v>64872.11</v>
      </c>
      <c r="G281">
        <v>23</v>
      </c>
      <c r="H281">
        <v>17</v>
      </c>
      <c r="I281">
        <v>39778.1</v>
      </c>
      <c r="J281">
        <v>7624.4</v>
      </c>
      <c r="K281">
        <v>0</v>
      </c>
      <c r="L281">
        <v>2024</v>
      </c>
    </row>
    <row r="282" spans="1:12" x14ac:dyDescent="0.25">
      <c r="A282" s="1" t="s">
        <v>317</v>
      </c>
      <c r="B282" s="1" t="s">
        <v>17</v>
      </c>
      <c r="C282">
        <v>84</v>
      </c>
      <c r="D282" s="1" t="s">
        <v>22</v>
      </c>
      <c r="E282">
        <v>67281.210000000006</v>
      </c>
      <c r="F282">
        <v>67529.31</v>
      </c>
      <c r="G282">
        <v>10</v>
      </c>
      <c r="H282">
        <v>33</v>
      </c>
      <c r="I282">
        <v>33881.29</v>
      </c>
      <c r="J282">
        <v>0</v>
      </c>
      <c r="K282">
        <v>0</v>
      </c>
      <c r="L282">
        <v>2024</v>
      </c>
    </row>
    <row r="283" spans="1:12" x14ac:dyDescent="0.25">
      <c r="A283" s="1" t="s">
        <v>318</v>
      </c>
      <c r="B283" s="1" t="s">
        <v>12</v>
      </c>
      <c r="C283">
        <v>46</v>
      </c>
      <c r="D283" s="1" t="s">
        <v>22</v>
      </c>
      <c r="E283">
        <v>35428.449999999997</v>
      </c>
      <c r="F283">
        <v>20815.89</v>
      </c>
      <c r="G283">
        <v>42</v>
      </c>
      <c r="H283">
        <v>27</v>
      </c>
      <c r="I283">
        <v>9932.4</v>
      </c>
      <c r="J283">
        <v>3691.82</v>
      </c>
      <c r="K283">
        <v>0</v>
      </c>
      <c r="L283">
        <v>2024</v>
      </c>
    </row>
    <row r="284" spans="1:12" x14ac:dyDescent="0.25">
      <c r="A284" s="1" t="s">
        <v>319</v>
      </c>
      <c r="B284" s="1" t="s">
        <v>17</v>
      </c>
      <c r="C284">
        <v>13</v>
      </c>
      <c r="D284" s="1" t="s">
        <v>22</v>
      </c>
      <c r="E284">
        <v>21020.18</v>
      </c>
      <c r="F284">
        <v>13285.81</v>
      </c>
      <c r="G284">
        <v>47</v>
      </c>
      <c r="H284">
        <v>26</v>
      </c>
      <c r="I284">
        <v>36641.83</v>
      </c>
      <c r="J284">
        <v>0</v>
      </c>
      <c r="K284">
        <v>1</v>
      </c>
      <c r="L284">
        <v>2024</v>
      </c>
    </row>
    <row r="285" spans="1:12" x14ac:dyDescent="0.25">
      <c r="A285" s="1" t="s">
        <v>320</v>
      </c>
      <c r="B285" s="1" t="s">
        <v>16</v>
      </c>
      <c r="C285">
        <v>106</v>
      </c>
      <c r="D285" s="1" t="s">
        <v>22</v>
      </c>
      <c r="E285">
        <v>91614.28</v>
      </c>
      <c r="F285">
        <v>57115.87</v>
      </c>
      <c r="G285">
        <v>35</v>
      </c>
      <c r="H285">
        <v>13</v>
      </c>
      <c r="I285">
        <v>14404.31</v>
      </c>
      <c r="J285">
        <v>5000.84</v>
      </c>
      <c r="K285">
        <v>0</v>
      </c>
      <c r="L285">
        <v>2024</v>
      </c>
    </row>
    <row r="286" spans="1:12" x14ac:dyDescent="0.25">
      <c r="A286" s="1" t="s">
        <v>321</v>
      </c>
      <c r="B286" s="1" t="s">
        <v>14</v>
      </c>
      <c r="C286">
        <v>104</v>
      </c>
      <c r="D286" s="1" t="s">
        <v>22</v>
      </c>
      <c r="E286">
        <v>89956.51</v>
      </c>
      <c r="F286">
        <v>71678.759999999995</v>
      </c>
      <c r="G286">
        <v>38</v>
      </c>
      <c r="H286">
        <v>25</v>
      </c>
      <c r="I286">
        <v>62812.76</v>
      </c>
      <c r="J286">
        <v>4210.55</v>
      </c>
      <c r="K286">
        <v>0</v>
      </c>
      <c r="L286">
        <v>2024</v>
      </c>
    </row>
    <row r="287" spans="1:12" x14ac:dyDescent="0.25">
      <c r="A287" s="1" t="s">
        <v>322</v>
      </c>
      <c r="B287" s="1" t="s">
        <v>12</v>
      </c>
      <c r="C287">
        <v>15</v>
      </c>
      <c r="D287" s="1" t="s">
        <v>22</v>
      </c>
      <c r="E287">
        <v>21892.57</v>
      </c>
      <c r="F287">
        <v>20252.349999999999</v>
      </c>
      <c r="G287">
        <v>37</v>
      </c>
      <c r="H287">
        <v>61</v>
      </c>
      <c r="I287">
        <v>46167.13</v>
      </c>
      <c r="J287">
        <v>0</v>
      </c>
      <c r="K287">
        <v>0</v>
      </c>
      <c r="L287">
        <v>2024</v>
      </c>
    </row>
    <row r="288" spans="1:12" x14ac:dyDescent="0.25">
      <c r="A288" s="1" t="s">
        <v>323</v>
      </c>
      <c r="B288" s="1" t="s">
        <v>14</v>
      </c>
      <c r="C288">
        <v>77</v>
      </c>
      <c r="D288" s="1" t="s">
        <v>22</v>
      </c>
      <c r="E288">
        <v>58047.03</v>
      </c>
      <c r="F288">
        <v>33696.29</v>
      </c>
      <c r="G288">
        <v>47</v>
      </c>
      <c r="H288">
        <v>55</v>
      </c>
      <c r="I288">
        <v>57911.82</v>
      </c>
      <c r="J288">
        <v>4973.26</v>
      </c>
      <c r="K288">
        <v>0</v>
      </c>
      <c r="L288">
        <v>2024</v>
      </c>
    </row>
    <row r="289" spans="1:12" x14ac:dyDescent="0.25">
      <c r="A289" s="1" t="s">
        <v>324</v>
      </c>
      <c r="B289" s="1" t="s">
        <v>18</v>
      </c>
      <c r="C289">
        <v>114</v>
      </c>
      <c r="D289" s="1" t="s">
        <v>22</v>
      </c>
      <c r="E289">
        <v>93054.35</v>
      </c>
      <c r="F289">
        <v>81238.509999999995</v>
      </c>
      <c r="G289">
        <v>46</v>
      </c>
      <c r="H289">
        <v>17</v>
      </c>
      <c r="I289">
        <v>48597.74</v>
      </c>
      <c r="J289">
        <v>1795.55</v>
      </c>
      <c r="K289">
        <v>0</v>
      </c>
      <c r="L289">
        <v>2024</v>
      </c>
    </row>
    <row r="290" spans="1:12" x14ac:dyDescent="0.25">
      <c r="A290" s="1" t="s">
        <v>23</v>
      </c>
      <c r="B290" s="1" t="s">
        <v>12</v>
      </c>
      <c r="C290">
        <v>64</v>
      </c>
      <c r="D290" s="1" t="s">
        <v>22</v>
      </c>
      <c r="E290">
        <v>52210.01</v>
      </c>
      <c r="F290">
        <v>40645.94</v>
      </c>
      <c r="G290">
        <v>51</v>
      </c>
      <c r="H290">
        <v>18</v>
      </c>
      <c r="I290">
        <v>39811.56</v>
      </c>
      <c r="J290">
        <v>1302.44</v>
      </c>
      <c r="K290">
        <v>0</v>
      </c>
      <c r="L290">
        <v>2024</v>
      </c>
    </row>
    <row r="291" spans="1:12" x14ac:dyDescent="0.25">
      <c r="A291" s="1" t="s">
        <v>325</v>
      </c>
      <c r="B291" s="1" t="s">
        <v>12</v>
      </c>
      <c r="C291">
        <v>80</v>
      </c>
      <c r="D291" s="1" t="s">
        <v>22</v>
      </c>
      <c r="E291">
        <v>68913.53</v>
      </c>
      <c r="F291">
        <v>53632.78</v>
      </c>
      <c r="G291">
        <v>10</v>
      </c>
      <c r="H291">
        <v>0</v>
      </c>
      <c r="I291">
        <v>32953.03</v>
      </c>
      <c r="J291">
        <v>3759.06</v>
      </c>
      <c r="K291">
        <v>0</v>
      </c>
      <c r="L291">
        <v>2024</v>
      </c>
    </row>
    <row r="292" spans="1:12" x14ac:dyDescent="0.25">
      <c r="A292" s="1" t="s">
        <v>326</v>
      </c>
      <c r="B292" s="1" t="s">
        <v>16</v>
      </c>
      <c r="C292">
        <v>46</v>
      </c>
      <c r="D292" s="1" t="s">
        <v>22</v>
      </c>
      <c r="E292">
        <v>46864.08</v>
      </c>
      <c r="F292">
        <v>47044.68</v>
      </c>
      <c r="G292">
        <v>56</v>
      </c>
      <c r="H292">
        <v>28</v>
      </c>
      <c r="I292">
        <v>34905.61</v>
      </c>
      <c r="J292">
        <v>6108.83</v>
      </c>
      <c r="K292">
        <v>0</v>
      </c>
      <c r="L292">
        <v>2024</v>
      </c>
    </row>
    <row r="293" spans="1:12" x14ac:dyDescent="0.25">
      <c r="A293" s="1" t="s">
        <v>327</v>
      </c>
      <c r="B293" s="1" t="s">
        <v>16</v>
      </c>
      <c r="C293">
        <v>73</v>
      </c>
      <c r="D293" s="1" t="s">
        <v>22</v>
      </c>
      <c r="E293">
        <v>60242.34</v>
      </c>
      <c r="F293">
        <v>39531.42</v>
      </c>
      <c r="G293">
        <v>33</v>
      </c>
      <c r="H293">
        <v>34</v>
      </c>
      <c r="I293">
        <v>0</v>
      </c>
      <c r="J293">
        <v>0</v>
      </c>
      <c r="K293">
        <v>0</v>
      </c>
      <c r="L293">
        <v>2024</v>
      </c>
    </row>
    <row r="294" spans="1:12" x14ac:dyDescent="0.25">
      <c r="A294" s="1" t="s">
        <v>328</v>
      </c>
      <c r="B294" s="1" t="s">
        <v>17</v>
      </c>
      <c r="C294">
        <v>31</v>
      </c>
      <c r="D294" s="1" t="s">
        <v>22</v>
      </c>
      <c r="E294">
        <v>56525.4</v>
      </c>
      <c r="F294">
        <v>56319.82</v>
      </c>
      <c r="G294">
        <v>28</v>
      </c>
      <c r="H294">
        <v>17</v>
      </c>
      <c r="I294">
        <v>33795.65</v>
      </c>
      <c r="J294">
        <v>6061.03</v>
      </c>
      <c r="K294">
        <v>0</v>
      </c>
      <c r="L294">
        <v>2024</v>
      </c>
    </row>
    <row r="295" spans="1:12" x14ac:dyDescent="0.25">
      <c r="A295" s="1" t="s">
        <v>329</v>
      </c>
      <c r="B295" s="1" t="s">
        <v>17</v>
      </c>
      <c r="C295">
        <v>6</v>
      </c>
      <c r="D295" s="1" t="s">
        <v>22</v>
      </c>
      <c r="E295">
        <v>4000</v>
      </c>
      <c r="F295">
        <v>3399.88</v>
      </c>
      <c r="G295">
        <v>47</v>
      </c>
      <c r="H295">
        <v>0</v>
      </c>
      <c r="I295">
        <v>28848.04</v>
      </c>
      <c r="J295">
        <v>560.22</v>
      </c>
      <c r="K295">
        <v>0</v>
      </c>
      <c r="L295">
        <v>2024</v>
      </c>
    </row>
    <row r="296" spans="1:12" x14ac:dyDescent="0.25">
      <c r="A296" s="1" t="s">
        <v>330</v>
      </c>
      <c r="B296" s="1" t="s">
        <v>12</v>
      </c>
      <c r="C296">
        <v>116</v>
      </c>
      <c r="D296" s="1" t="s">
        <v>22</v>
      </c>
      <c r="E296">
        <v>98185.23</v>
      </c>
      <c r="F296">
        <v>73533.259999999995</v>
      </c>
      <c r="G296">
        <v>48</v>
      </c>
      <c r="H296">
        <v>0</v>
      </c>
      <c r="I296">
        <v>6372.81</v>
      </c>
      <c r="J296">
        <v>2683.56</v>
      </c>
      <c r="K296">
        <v>1</v>
      </c>
      <c r="L296">
        <v>2024</v>
      </c>
    </row>
    <row r="297" spans="1:12" x14ac:dyDescent="0.25">
      <c r="A297" s="1" t="s">
        <v>331</v>
      </c>
      <c r="B297" s="1" t="s">
        <v>17</v>
      </c>
      <c r="C297">
        <v>56</v>
      </c>
      <c r="D297" s="1" t="s">
        <v>22</v>
      </c>
      <c r="E297">
        <v>60950.44</v>
      </c>
      <c r="F297">
        <v>60916.12</v>
      </c>
      <c r="G297">
        <v>20</v>
      </c>
      <c r="H297">
        <v>50</v>
      </c>
      <c r="I297">
        <v>74265.429999999993</v>
      </c>
      <c r="J297">
        <v>569.16999999999996</v>
      </c>
      <c r="K297">
        <v>0</v>
      </c>
      <c r="L297">
        <v>2024</v>
      </c>
    </row>
    <row r="298" spans="1:12" x14ac:dyDescent="0.25">
      <c r="A298" s="1" t="s">
        <v>332</v>
      </c>
      <c r="B298" s="1" t="s">
        <v>18</v>
      </c>
      <c r="C298">
        <v>65</v>
      </c>
      <c r="D298" s="1" t="s">
        <v>22</v>
      </c>
      <c r="E298">
        <v>52206.74</v>
      </c>
      <c r="F298">
        <v>37774.089999999997</v>
      </c>
      <c r="G298">
        <v>47</v>
      </c>
      <c r="H298">
        <v>31</v>
      </c>
      <c r="I298">
        <v>18132.13</v>
      </c>
      <c r="J298">
        <v>237.22</v>
      </c>
      <c r="K298">
        <v>0</v>
      </c>
      <c r="L298">
        <v>2024</v>
      </c>
    </row>
    <row r="299" spans="1:12" x14ac:dyDescent="0.25">
      <c r="A299" s="1" t="s">
        <v>24</v>
      </c>
      <c r="B299" s="1" t="s">
        <v>18</v>
      </c>
      <c r="C299">
        <v>61</v>
      </c>
      <c r="D299" s="1" t="s">
        <v>22</v>
      </c>
      <c r="E299">
        <v>59683.24</v>
      </c>
      <c r="F299">
        <v>62993.33</v>
      </c>
      <c r="G299">
        <v>34</v>
      </c>
      <c r="H299">
        <v>37</v>
      </c>
      <c r="I299">
        <v>23857.05</v>
      </c>
      <c r="J299">
        <v>8314.64</v>
      </c>
      <c r="K299">
        <v>0</v>
      </c>
      <c r="L299">
        <v>2024</v>
      </c>
    </row>
    <row r="300" spans="1:12" x14ac:dyDescent="0.25">
      <c r="A300" s="1" t="s">
        <v>333</v>
      </c>
      <c r="B300" s="1" t="s">
        <v>15</v>
      </c>
      <c r="C300">
        <v>35</v>
      </c>
      <c r="D300" s="1" t="s">
        <v>22</v>
      </c>
      <c r="E300">
        <v>34814.93</v>
      </c>
      <c r="F300">
        <v>23725.9</v>
      </c>
      <c r="G300">
        <v>30</v>
      </c>
      <c r="H300">
        <v>29</v>
      </c>
      <c r="I300">
        <v>36616.31</v>
      </c>
      <c r="J300">
        <v>828</v>
      </c>
      <c r="K300">
        <v>0</v>
      </c>
      <c r="L300">
        <v>2024</v>
      </c>
    </row>
    <row r="301" spans="1:12" x14ac:dyDescent="0.25">
      <c r="A301" s="1" t="s">
        <v>334</v>
      </c>
      <c r="B301" s="1" t="s">
        <v>17</v>
      </c>
      <c r="C301">
        <v>69</v>
      </c>
      <c r="D301" s="1" t="s">
        <v>22</v>
      </c>
      <c r="E301">
        <v>60932.07</v>
      </c>
      <c r="F301">
        <v>36636.78</v>
      </c>
      <c r="G301">
        <v>18</v>
      </c>
      <c r="H301">
        <v>57</v>
      </c>
      <c r="I301">
        <v>47315</v>
      </c>
      <c r="J301">
        <v>5455.64</v>
      </c>
      <c r="K301">
        <v>0</v>
      </c>
      <c r="L301">
        <v>2024</v>
      </c>
    </row>
    <row r="302" spans="1:12" x14ac:dyDescent="0.25">
      <c r="A302" s="1" t="s">
        <v>335</v>
      </c>
      <c r="B302" s="1" t="s">
        <v>18</v>
      </c>
      <c r="C302">
        <v>43</v>
      </c>
      <c r="D302" s="1" t="s">
        <v>22</v>
      </c>
      <c r="E302">
        <v>24423.54</v>
      </c>
      <c r="F302">
        <v>20912.2</v>
      </c>
      <c r="G302">
        <v>58</v>
      </c>
      <c r="H302">
        <v>8</v>
      </c>
      <c r="I302">
        <v>50214.39</v>
      </c>
      <c r="J302">
        <v>2851.56</v>
      </c>
      <c r="K302">
        <v>0</v>
      </c>
      <c r="L302">
        <v>2024</v>
      </c>
    </row>
    <row r="303" spans="1:12" x14ac:dyDescent="0.25">
      <c r="A303" s="1" t="s">
        <v>336</v>
      </c>
      <c r="B303" s="1" t="s">
        <v>17</v>
      </c>
      <c r="C303">
        <v>4</v>
      </c>
      <c r="D303" s="1" t="s">
        <v>22</v>
      </c>
      <c r="E303">
        <v>4000</v>
      </c>
      <c r="F303">
        <v>2710.99</v>
      </c>
      <c r="G303">
        <v>11</v>
      </c>
      <c r="H303">
        <v>14</v>
      </c>
      <c r="I303">
        <v>42675.85</v>
      </c>
      <c r="J303">
        <v>5189.5600000000004</v>
      </c>
      <c r="K303">
        <v>0</v>
      </c>
      <c r="L303">
        <v>2024</v>
      </c>
    </row>
    <row r="304" spans="1:12" x14ac:dyDescent="0.25">
      <c r="A304" s="1" t="s">
        <v>337</v>
      </c>
      <c r="B304" s="1" t="s">
        <v>14</v>
      </c>
      <c r="C304">
        <v>73</v>
      </c>
      <c r="D304" s="1" t="s">
        <v>22</v>
      </c>
      <c r="E304">
        <v>61764.74</v>
      </c>
      <c r="F304">
        <v>45870.75</v>
      </c>
      <c r="G304">
        <v>49</v>
      </c>
      <c r="H304">
        <v>49</v>
      </c>
      <c r="I304">
        <v>72629.13</v>
      </c>
      <c r="J304">
        <v>7413.56</v>
      </c>
      <c r="K304">
        <v>0</v>
      </c>
      <c r="L304">
        <v>2024</v>
      </c>
    </row>
    <row r="305" spans="1:12" x14ac:dyDescent="0.25">
      <c r="A305" s="1" t="s">
        <v>338</v>
      </c>
      <c r="B305" s="1" t="s">
        <v>12</v>
      </c>
      <c r="C305">
        <v>78</v>
      </c>
      <c r="D305" s="1" t="s">
        <v>22</v>
      </c>
      <c r="E305">
        <v>50426.720000000001</v>
      </c>
      <c r="F305">
        <v>29780.62</v>
      </c>
      <c r="G305">
        <v>57</v>
      </c>
      <c r="H305">
        <v>27</v>
      </c>
      <c r="I305">
        <v>36043.360000000001</v>
      </c>
      <c r="J305">
        <v>0</v>
      </c>
      <c r="K305">
        <v>0</v>
      </c>
      <c r="L305">
        <v>2024</v>
      </c>
    </row>
    <row r="306" spans="1:12" x14ac:dyDescent="0.25">
      <c r="A306" s="1" t="s">
        <v>339</v>
      </c>
      <c r="B306" s="1" t="s">
        <v>14</v>
      </c>
      <c r="C306">
        <v>85</v>
      </c>
      <c r="D306" s="1" t="s">
        <v>340</v>
      </c>
      <c r="E306">
        <v>64367.09</v>
      </c>
      <c r="F306">
        <v>57336.86</v>
      </c>
      <c r="G306">
        <v>15</v>
      </c>
      <c r="H306">
        <v>5</v>
      </c>
      <c r="I306">
        <v>34371.879999999997</v>
      </c>
      <c r="J306">
        <v>6.8</v>
      </c>
      <c r="K306">
        <v>0</v>
      </c>
      <c r="L306">
        <v>2024</v>
      </c>
    </row>
    <row r="307" spans="1:12" x14ac:dyDescent="0.25">
      <c r="A307" s="1" t="s">
        <v>341</v>
      </c>
      <c r="B307" s="1" t="s">
        <v>14</v>
      </c>
      <c r="C307">
        <v>54</v>
      </c>
      <c r="D307" s="1" t="s">
        <v>340</v>
      </c>
      <c r="E307">
        <v>48209.91</v>
      </c>
      <c r="F307">
        <v>32401.599999999999</v>
      </c>
      <c r="G307">
        <v>46</v>
      </c>
      <c r="H307">
        <v>16</v>
      </c>
      <c r="I307">
        <v>42898.21</v>
      </c>
      <c r="J307">
        <v>7061.52</v>
      </c>
      <c r="K307">
        <v>0</v>
      </c>
      <c r="L307">
        <v>2024</v>
      </c>
    </row>
    <row r="308" spans="1:12" x14ac:dyDescent="0.25">
      <c r="A308" s="1" t="s">
        <v>342</v>
      </c>
      <c r="B308" s="1" t="s">
        <v>14</v>
      </c>
      <c r="C308">
        <v>56</v>
      </c>
      <c r="D308" s="1" t="s">
        <v>340</v>
      </c>
      <c r="E308">
        <v>53737.25</v>
      </c>
      <c r="F308">
        <v>54823.85</v>
      </c>
      <c r="G308">
        <v>30</v>
      </c>
      <c r="H308">
        <v>57</v>
      </c>
      <c r="I308">
        <v>60033.8</v>
      </c>
      <c r="J308">
        <v>3228.86</v>
      </c>
      <c r="K308">
        <v>0</v>
      </c>
      <c r="L308">
        <v>2024</v>
      </c>
    </row>
    <row r="309" spans="1:12" x14ac:dyDescent="0.25">
      <c r="A309" s="1" t="s">
        <v>343</v>
      </c>
      <c r="B309" s="1" t="s">
        <v>17</v>
      </c>
      <c r="C309">
        <v>105</v>
      </c>
      <c r="D309" s="1" t="s">
        <v>340</v>
      </c>
      <c r="E309">
        <v>79658.12</v>
      </c>
      <c r="F309">
        <v>55492.58</v>
      </c>
      <c r="G309">
        <v>10</v>
      </c>
      <c r="H309">
        <v>53</v>
      </c>
      <c r="I309">
        <v>66430.14</v>
      </c>
      <c r="J309">
        <v>0</v>
      </c>
      <c r="K309">
        <v>0</v>
      </c>
      <c r="L309">
        <v>2024</v>
      </c>
    </row>
    <row r="310" spans="1:12" x14ac:dyDescent="0.25">
      <c r="A310" s="1" t="s">
        <v>344</v>
      </c>
      <c r="B310" s="1" t="s">
        <v>12</v>
      </c>
      <c r="C310">
        <v>67</v>
      </c>
      <c r="D310" s="1" t="s">
        <v>340</v>
      </c>
      <c r="E310">
        <v>64180.5</v>
      </c>
      <c r="F310">
        <v>38127.35</v>
      </c>
      <c r="G310">
        <v>46</v>
      </c>
      <c r="H310">
        <v>4</v>
      </c>
      <c r="I310">
        <v>66977.149999999994</v>
      </c>
      <c r="J310">
        <v>6460.54</v>
      </c>
      <c r="K310">
        <v>0</v>
      </c>
      <c r="L310">
        <v>2024</v>
      </c>
    </row>
    <row r="311" spans="1:12" x14ac:dyDescent="0.25">
      <c r="A311" s="1" t="s">
        <v>345</v>
      </c>
      <c r="B311" s="1" t="s">
        <v>12</v>
      </c>
      <c r="C311">
        <v>49</v>
      </c>
      <c r="D311" s="1" t="s">
        <v>340</v>
      </c>
      <c r="E311">
        <v>44957.54</v>
      </c>
      <c r="F311">
        <v>27125.52</v>
      </c>
      <c r="G311">
        <v>62</v>
      </c>
      <c r="H311">
        <v>34</v>
      </c>
      <c r="I311">
        <v>43566.85</v>
      </c>
      <c r="J311">
        <v>0</v>
      </c>
      <c r="K311">
        <v>1</v>
      </c>
      <c r="L311">
        <v>2024</v>
      </c>
    </row>
    <row r="312" spans="1:12" x14ac:dyDescent="0.25">
      <c r="A312" s="1" t="s">
        <v>346</v>
      </c>
      <c r="B312" s="1" t="s">
        <v>14</v>
      </c>
      <c r="C312">
        <v>94</v>
      </c>
      <c r="D312" s="1" t="s">
        <v>340</v>
      </c>
      <c r="E312">
        <v>71226.23</v>
      </c>
      <c r="F312">
        <v>61374.27</v>
      </c>
      <c r="G312">
        <v>30</v>
      </c>
      <c r="H312">
        <v>58</v>
      </c>
      <c r="I312">
        <v>0</v>
      </c>
      <c r="J312">
        <v>0</v>
      </c>
      <c r="K312">
        <v>1</v>
      </c>
      <c r="L312">
        <v>2024</v>
      </c>
    </row>
    <row r="313" spans="1:12" x14ac:dyDescent="0.25">
      <c r="A313" s="1" t="s">
        <v>347</v>
      </c>
      <c r="B313" s="1" t="s">
        <v>16</v>
      </c>
      <c r="C313">
        <v>100</v>
      </c>
      <c r="D313" s="1" t="s">
        <v>340</v>
      </c>
      <c r="E313">
        <v>92682.2</v>
      </c>
      <c r="F313">
        <v>96581.62</v>
      </c>
      <c r="G313">
        <v>34</v>
      </c>
      <c r="H313">
        <v>31</v>
      </c>
      <c r="I313">
        <v>0</v>
      </c>
      <c r="J313">
        <v>3643.11</v>
      </c>
      <c r="K313">
        <v>0</v>
      </c>
      <c r="L313">
        <v>2024</v>
      </c>
    </row>
    <row r="314" spans="1:12" x14ac:dyDescent="0.25">
      <c r="A314" s="1" t="s">
        <v>348</v>
      </c>
      <c r="B314" s="1" t="s">
        <v>12</v>
      </c>
      <c r="C314">
        <v>108</v>
      </c>
      <c r="D314" s="1" t="s">
        <v>340</v>
      </c>
      <c r="E314">
        <v>84506.7</v>
      </c>
      <c r="F314">
        <v>68738.63</v>
      </c>
      <c r="G314">
        <v>24</v>
      </c>
      <c r="H314">
        <v>32</v>
      </c>
      <c r="I314">
        <v>69929.63</v>
      </c>
      <c r="J314">
        <v>0</v>
      </c>
      <c r="K314">
        <v>1</v>
      </c>
      <c r="L314">
        <v>2024</v>
      </c>
    </row>
    <row r="315" spans="1:12" x14ac:dyDescent="0.25">
      <c r="A315" s="1" t="s">
        <v>349</v>
      </c>
      <c r="B315" s="1" t="s">
        <v>17</v>
      </c>
      <c r="C315">
        <v>16</v>
      </c>
      <c r="D315" s="1" t="s">
        <v>340</v>
      </c>
      <c r="E315">
        <v>17136.75</v>
      </c>
      <c r="F315">
        <v>10681.76</v>
      </c>
      <c r="G315">
        <v>34</v>
      </c>
      <c r="H315">
        <v>19</v>
      </c>
      <c r="I315">
        <v>22870.49</v>
      </c>
      <c r="J315">
        <v>0</v>
      </c>
      <c r="K315">
        <v>0</v>
      </c>
      <c r="L315">
        <v>2024</v>
      </c>
    </row>
    <row r="316" spans="1:12" x14ac:dyDescent="0.25">
      <c r="A316" s="1" t="s">
        <v>350</v>
      </c>
      <c r="B316" s="1" t="s">
        <v>12</v>
      </c>
      <c r="C316">
        <v>49</v>
      </c>
      <c r="D316" s="1" t="s">
        <v>340</v>
      </c>
      <c r="E316">
        <v>37316.93</v>
      </c>
      <c r="F316">
        <v>22769.96</v>
      </c>
      <c r="G316">
        <v>41</v>
      </c>
      <c r="H316">
        <v>39</v>
      </c>
      <c r="I316">
        <v>19122.97</v>
      </c>
      <c r="J316">
        <v>12180.87</v>
      </c>
      <c r="K316">
        <v>1</v>
      </c>
      <c r="L316">
        <v>2024</v>
      </c>
    </row>
    <row r="317" spans="1:12" x14ac:dyDescent="0.25">
      <c r="A317" s="1" t="s">
        <v>351</v>
      </c>
      <c r="B317" s="1" t="s">
        <v>18</v>
      </c>
      <c r="C317">
        <v>73</v>
      </c>
      <c r="D317" s="1" t="s">
        <v>340</v>
      </c>
      <c r="E317">
        <v>67210.64</v>
      </c>
      <c r="F317">
        <v>60896.69</v>
      </c>
      <c r="G317">
        <v>54</v>
      </c>
      <c r="H317">
        <v>7</v>
      </c>
      <c r="I317">
        <v>49962.55</v>
      </c>
      <c r="J317">
        <v>4405.25</v>
      </c>
      <c r="K317">
        <v>0</v>
      </c>
      <c r="L317">
        <v>2024</v>
      </c>
    </row>
    <row r="318" spans="1:12" x14ac:dyDescent="0.25">
      <c r="A318" s="1" t="s">
        <v>352</v>
      </c>
      <c r="B318" s="1" t="s">
        <v>17</v>
      </c>
      <c r="C318">
        <v>102</v>
      </c>
      <c r="D318" s="1" t="s">
        <v>340</v>
      </c>
      <c r="E318">
        <v>80808.73</v>
      </c>
      <c r="F318">
        <v>52894.36</v>
      </c>
      <c r="G318">
        <v>19</v>
      </c>
      <c r="H318">
        <v>34</v>
      </c>
      <c r="I318">
        <v>0</v>
      </c>
      <c r="J318">
        <v>814.62</v>
      </c>
      <c r="K318">
        <v>0</v>
      </c>
      <c r="L318">
        <v>2024</v>
      </c>
    </row>
    <row r="319" spans="1:12" x14ac:dyDescent="0.25">
      <c r="A319" s="1" t="s">
        <v>353</v>
      </c>
      <c r="B319" s="1" t="s">
        <v>18</v>
      </c>
      <c r="C319">
        <v>25</v>
      </c>
      <c r="D319" s="1" t="s">
        <v>340</v>
      </c>
      <c r="E319">
        <v>36035.919999999998</v>
      </c>
      <c r="F319">
        <v>22218.73</v>
      </c>
      <c r="G319">
        <v>46</v>
      </c>
      <c r="H319">
        <v>32</v>
      </c>
      <c r="I319">
        <v>61180.07</v>
      </c>
      <c r="J319">
        <v>833.52</v>
      </c>
      <c r="K319">
        <v>1</v>
      </c>
      <c r="L319">
        <v>2024</v>
      </c>
    </row>
    <row r="320" spans="1:12" x14ac:dyDescent="0.25">
      <c r="A320" s="1" t="s">
        <v>354</v>
      </c>
      <c r="B320" s="1" t="s">
        <v>12</v>
      </c>
      <c r="C320">
        <v>108</v>
      </c>
      <c r="D320" s="1" t="s">
        <v>340</v>
      </c>
      <c r="E320">
        <v>78508.69</v>
      </c>
      <c r="F320">
        <v>56019.78</v>
      </c>
      <c r="G320">
        <v>51</v>
      </c>
      <c r="H320">
        <v>26</v>
      </c>
      <c r="I320">
        <v>0</v>
      </c>
      <c r="J320">
        <v>3301.41</v>
      </c>
      <c r="K320">
        <v>0</v>
      </c>
      <c r="L320">
        <v>2024</v>
      </c>
    </row>
    <row r="321" spans="1:12" x14ac:dyDescent="0.25">
      <c r="A321" s="1" t="s">
        <v>355</v>
      </c>
      <c r="B321" s="1" t="s">
        <v>18</v>
      </c>
      <c r="C321">
        <v>78</v>
      </c>
      <c r="D321" s="1" t="s">
        <v>340</v>
      </c>
      <c r="E321">
        <v>66743.460000000006</v>
      </c>
      <c r="F321">
        <v>61246</v>
      </c>
      <c r="G321">
        <v>35</v>
      </c>
      <c r="H321">
        <v>24</v>
      </c>
      <c r="I321">
        <v>9350.1299999999992</v>
      </c>
      <c r="J321">
        <v>4645.21</v>
      </c>
      <c r="K321">
        <v>0</v>
      </c>
      <c r="L321">
        <v>2024</v>
      </c>
    </row>
    <row r="322" spans="1:12" x14ac:dyDescent="0.25">
      <c r="A322" s="1" t="s">
        <v>356</v>
      </c>
      <c r="B322" s="1" t="s">
        <v>18</v>
      </c>
      <c r="C322">
        <v>93</v>
      </c>
      <c r="D322" s="1" t="s">
        <v>340</v>
      </c>
      <c r="E322">
        <v>73856.78</v>
      </c>
      <c r="F322">
        <v>53363.69</v>
      </c>
      <c r="G322">
        <v>46</v>
      </c>
      <c r="H322">
        <v>19</v>
      </c>
      <c r="I322">
        <v>21223.08</v>
      </c>
      <c r="J322">
        <v>2105.91</v>
      </c>
      <c r="K322">
        <v>0</v>
      </c>
      <c r="L322">
        <v>2024</v>
      </c>
    </row>
    <row r="323" spans="1:12" x14ac:dyDescent="0.25">
      <c r="A323" s="1" t="s">
        <v>357</v>
      </c>
      <c r="B323" s="1" t="s">
        <v>17</v>
      </c>
      <c r="C323">
        <v>42</v>
      </c>
      <c r="D323" s="1" t="s">
        <v>340</v>
      </c>
      <c r="E323">
        <v>45522.73</v>
      </c>
      <c r="F323">
        <v>41766.28</v>
      </c>
      <c r="G323">
        <v>27</v>
      </c>
      <c r="H323">
        <v>28</v>
      </c>
      <c r="I323">
        <v>13787.42</v>
      </c>
      <c r="J323">
        <v>3555.91</v>
      </c>
      <c r="K323">
        <v>1</v>
      </c>
      <c r="L323">
        <v>2024</v>
      </c>
    </row>
    <row r="324" spans="1:12" x14ac:dyDescent="0.25">
      <c r="A324" s="1" t="s">
        <v>358</v>
      </c>
      <c r="B324" s="1" t="s">
        <v>17</v>
      </c>
      <c r="C324">
        <v>86</v>
      </c>
      <c r="D324" s="1" t="s">
        <v>340</v>
      </c>
      <c r="E324">
        <v>69335.3</v>
      </c>
      <c r="F324">
        <v>68747.94</v>
      </c>
      <c r="G324">
        <v>49</v>
      </c>
      <c r="H324">
        <v>58</v>
      </c>
      <c r="I324">
        <v>8211.98</v>
      </c>
      <c r="J324">
        <v>0</v>
      </c>
      <c r="K324">
        <v>0</v>
      </c>
      <c r="L324">
        <v>2024</v>
      </c>
    </row>
    <row r="325" spans="1:12" x14ac:dyDescent="0.25">
      <c r="A325" s="1" t="s">
        <v>359</v>
      </c>
      <c r="B325" s="1" t="s">
        <v>16</v>
      </c>
      <c r="C325">
        <v>32</v>
      </c>
      <c r="D325" s="1" t="s">
        <v>340</v>
      </c>
      <c r="E325">
        <v>25192.27</v>
      </c>
      <c r="F325">
        <v>21688.53</v>
      </c>
      <c r="G325">
        <v>10</v>
      </c>
      <c r="H325">
        <v>21</v>
      </c>
      <c r="I325">
        <v>65707.149999999994</v>
      </c>
      <c r="J325">
        <v>5512.91</v>
      </c>
      <c r="K325">
        <v>0</v>
      </c>
      <c r="L325">
        <v>2024</v>
      </c>
    </row>
    <row r="326" spans="1:12" x14ac:dyDescent="0.25">
      <c r="A326" s="1" t="s">
        <v>360</v>
      </c>
      <c r="B326" s="1" t="s">
        <v>12</v>
      </c>
      <c r="C326">
        <v>32</v>
      </c>
      <c r="D326" s="1" t="s">
        <v>340</v>
      </c>
      <c r="E326">
        <v>25659.15</v>
      </c>
      <c r="F326">
        <v>25961.919999999998</v>
      </c>
      <c r="G326">
        <v>27</v>
      </c>
      <c r="H326">
        <v>37</v>
      </c>
      <c r="I326">
        <v>47773.7</v>
      </c>
      <c r="J326">
        <v>10934.51</v>
      </c>
      <c r="K326">
        <v>0</v>
      </c>
      <c r="L326">
        <v>2024</v>
      </c>
    </row>
    <row r="327" spans="1:12" x14ac:dyDescent="0.25">
      <c r="A327" s="1" t="s">
        <v>361</v>
      </c>
      <c r="B327" s="1" t="s">
        <v>15</v>
      </c>
      <c r="C327">
        <v>93</v>
      </c>
      <c r="D327" s="1" t="s">
        <v>340</v>
      </c>
      <c r="E327">
        <v>76398.94</v>
      </c>
      <c r="F327">
        <v>76974.039999999994</v>
      </c>
      <c r="G327">
        <v>57</v>
      </c>
      <c r="H327">
        <v>42</v>
      </c>
      <c r="I327">
        <v>23241.11</v>
      </c>
      <c r="J327">
        <v>4010.13</v>
      </c>
      <c r="K327">
        <v>0</v>
      </c>
      <c r="L327">
        <v>2024</v>
      </c>
    </row>
    <row r="328" spans="1:12" x14ac:dyDescent="0.25">
      <c r="A328" s="1" t="s">
        <v>362</v>
      </c>
      <c r="B328" s="1" t="s">
        <v>17</v>
      </c>
      <c r="C328">
        <v>76</v>
      </c>
      <c r="D328" s="1" t="s">
        <v>340</v>
      </c>
      <c r="E328">
        <v>63840.959999999999</v>
      </c>
      <c r="F328">
        <v>44348.3</v>
      </c>
      <c r="G328">
        <v>32</v>
      </c>
      <c r="H328">
        <v>4</v>
      </c>
      <c r="I328">
        <v>63160.23</v>
      </c>
      <c r="J328">
        <v>0</v>
      </c>
      <c r="K328">
        <v>0</v>
      </c>
      <c r="L328">
        <v>2024</v>
      </c>
    </row>
    <row r="329" spans="1:12" x14ac:dyDescent="0.25">
      <c r="A329" s="1" t="s">
        <v>363</v>
      </c>
      <c r="B329" s="1" t="s">
        <v>17</v>
      </c>
      <c r="C329">
        <v>62</v>
      </c>
      <c r="D329" s="1" t="s">
        <v>340</v>
      </c>
      <c r="E329">
        <v>46536.25</v>
      </c>
      <c r="F329">
        <v>34286.76</v>
      </c>
      <c r="G329">
        <v>60</v>
      </c>
      <c r="H329">
        <v>0</v>
      </c>
      <c r="I329">
        <v>4426.71</v>
      </c>
      <c r="J329">
        <v>0</v>
      </c>
      <c r="K329">
        <v>0</v>
      </c>
      <c r="L329">
        <v>2024</v>
      </c>
    </row>
    <row r="330" spans="1:12" x14ac:dyDescent="0.25">
      <c r="A330" s="1" t="s">
        <v>364</v>
      </c>
      <c r="B330" s="1" t="s">
        <v>17</v>
      </c>
      <c r="C330">
        <v>56</v>
      </c>
      <c r="D330" s="1" t="s">
        <v>340</v>
      </c>
      <c r="E330">
        <v>45491.35</v>
      </c>
      <c r="F330">
        <v>42072.56</v>
      </c>
      <c r="G330">
        <v>64</v>
      </c>
      <c r="H330">
        <v>19</v>
      </c>
      <c r="I330">
        <v>28241.96</v>
      </c>
      <c r="J330">
        <v>0</v>
      </c>
      <c r="K330">
        <v>0</v>
      </c>
      <c r="L330">
        <v>2024</v>
      </c>
    </row>
    <row r="331" spans="1:12" x14ac:dyDescent="0.25">
      <c r="A331" s="1" t="s">
        <v>365</v>
      </c>
      <c r="B331" s="1" t="s">
        <v>16</v>
      </c>
      <c r="C331">
        <v>114</v>
      </c>
      <c r="D331" s="1" t="s">
        <v>340</v>
      </c>
      <c r="E331">
        <v>97899.39</v>
      </c>
      <c r="F331">
        <v>65632.08</v>
      </c>
      <c r="G331">
        <v>38</v>
      </c>
      <c r="H331">
        <v>10</v>
      </c>
      <c r="I331">
        <v>43464.89</v>
      </c>
      <c r="J331">
        <v>2540.0500000000002</v>
      </c>
      <c r="K331">
        <v>0</v>
      </c>
      <c r="L331">
        <v>2024</v>
      </c>
    </row>
    <row r="332" spans="1:12" x14ac:dyDescent="0.25">
      <c r="A332" s="1" t="s">
        <v>366</v>
      </c>
      <c r="B332" s="1" t="s">
        <v>12</v>
      </c>
      <c r="C332">
        <v>95</v>
      </c>
      <c r="D332" s="1" t="s">
        <v>340</v>
      </c>
      <c r="E332">
        <v>90223.85</v>
      </c>
      <c r="F332">
        <v>81491.72</v>
      </c>
      <c r="G332">
        <v>27</v>
      </c>
      <c r="H332">
        <v>58</v>
      </c>
      <c r="I332">
        <v>68832.75</v>
      </c>
      <c r="J332">
        <v>1950.23</v>
      </c>
      <c r="K332">
        <v>0</v>
      </c>
      <c r="L332">
        <v>2024</v>
      </c>
    </row>
    <row r="333" spans="1:12" x14ac:dyDescent="0.25">
      <c r="A333" s="1" t="s">
        <v>367</v>
      </c>
      <c r="B333" s="1" t="s">
        <v>15</v>
      </c>
      <c r="C333">
        <v>114</v>
      </c>
      <c r="D333" s="1" t="s">
        <v>340</v>
      </c>
      <c r="E333">
        <v>79851.48</v>
      </c>
      <c r="F333">
        <v>52658.239999999998</v>
      </c>
      <c r="G333">
        <v>34</v>
      </c>
      <c r="H333">
        <v>42</v>
      </c>
      <c r="I333">
        <v>67346.61</v>
      </c>
      <c r="J333">
        <v>1494.85</v>
      </c>
      <c r="K333">
        <v>0</v>
      </c>
      <c r="L333">
        <v>2024</v>
      </c>
    </row>
    <row r="334" spans="1:12" x14ac:dyDescent="0.25">
      <c r="A334" s="1" t="s">
        <v>368</v>
      </c>
      <c r="B334" s="1" t="s">
        <v>14</v>
      </c>
      <c r="C334">
        <v>98</v>
      </c>
      <c r="D334" s="1" t="s">
        <v>340</v>
      </c>
      <c r="E334">
        <v>72281.210000000006</v>
      </c>
      <c r="F334">
        <v>43574.79</v>
      </c>
      <c r="G334">
        <v>41</v>
      </c>
      <c r="H334">
        <v>27</v>
      </c>
      <c r="I334">
        <v>51383.69</v>
      </c>
      <c r="J334">
        <v>0</v>
      </c>
      <c r="K334">
        <v>0</v>
      </c>
      <c r="L334">
        <v>2024</v>
      </c>
    </row>
    <row r="335" spans="1:12" x14ac:dyDescent="0.25">
      <c r="A335" s="1" t="s">
        <v>369</v>
      </c>
      <c r="B335" s="1" t="s">
        <v>16</v>
      </c>
      <c r="C335">
        <v>76</v>
      </c>
      <c r="D335" s="1" t="s">
        <v>340</v>
      </c>
      <c r="E335">
        <v>65135.32</v>
      </c>
      <c r="F335">
        <v>68249.289999999994</v>
      </c>
      <c r="G335">
        <v>63</v>
      </c>
      <c r="H335">
        <v>45</v>
      </c>
      <c r="I335">
        <v>46144.98</v>
      </c>
      <c r="J335">
        <v>0</v>
      </c>
      <c r="K335">
        <v>1</v>
      </c>
      <c r="L335">
        <v>2024</v>
      </c>
    </row>
    <row r="336" spans="1:12" x14ac:dyDescent="0.25">
      <c r="A336" s="1" t="s">
        <v>370</v>
      </c>
      <c r="B336" s="1" t="s">
        <v>12</v>
      </c>
      <c r="C336">
        <v>120</v>
      </c>
      <c r="D336" s="1" t="s">
        <v>340</v>
      </c>
      <c r="E336">
        <v>98821.75</v>
      </c>
      <c r="F336">
        <v>73846.09</v>
      </c>
      <c r="G336">
        <v>19</v>
      </c>
      <c r="H336">
        <v>40</v>
      </c>
      <c r="I336">
        <v>51260.35</v>
      </c>
      <c r="J336">
        <v>0</v>
      </c>
      <c r="K336">
        <v>1</v>
      </c>
      <c r="L336">
        <v>2024</v>
      </c>
    </row>
    <row r="337" spans="1:12" x14ac:dyDescent="0.25">
      <c r="A337" s="1" t="s">
        <v>371</v>
      </c>
      <c r="B337" s="1" t="s">
        <v>14</v>
      </c>
      <c r="C337">
        <v>88</v>
      </c>
      <c r="D337" s="1" t="s">
        <v>340</v>
      </c>
      <c r="E337">
        <v>80405.08</v>
      </c>
      <c r="F337">
        <v>59746.83</v>
      </c>
      <c r="G337">
        <v>56</v>
      </c>
      <c r="H337">
        <v>40</v>
      </c>
      <c r="I337">
        <v>19621.38</v>
      </c>
      <c r="J337">
        <v>4880.04</v>
      </c>
      <c r="K337">
        <v>0</v>
      </c>
      <c r="L337">
        <v>2024</v>
      </c>
    </row>
    <row r="338" spans="1:12" x14ac:dyDescent="0.25">
      <c r="A338" s="1" t="s">
        <v>372</v>
      </c>
      <c r="B338" s="1" t="s">
        <v>12</v>
      </c>
      <c r="C338">
        <v>10</v>
      </c>
      <c r="D338" s="1" t="s">
        <v>340</v>
      </c>
      <c r="E338">
        <v>15779.82</v>
      </c>
      <c r="F338">
        <v>15728.66</v>
      </c>
      <c r="G338">
        <v>35</v>
      </c>
      <c r="H338">
        <v>17</v>
      </c>
      <c r="I338">
        <v>68131.039999999994</v>
      </c>
      <c r="J338">
        <v>8647.74</v>
      </c>
      <c r="K338">
        <v>0</v>
      </c>
      <c r="L338">
        <v>2024</v>
      </c>
    </row>
    <row r="339" spans="1:12" x14ac:dyDescent="0.25">
      <c r="A339" s="1" t="s">
        <v>373</v>
      </c>
      <c r="B339" s="1" t="s">
        <v>18</v>
      </c>
      <c r="C339">
        <v>93</v>
      </c>
      <c r="D339" s="1" t="s">
        <v>340</v>
      </c>
      <c r="E339">
        <v>73488.929999999993</v>
      </c>
      <c r="F339">
        <v>53392.58</v>
      </c>
      <c r="G339">
        <v>32</v>
      </c>
      <c r="H339">
        <v>24</v>
      </c>
      <c r="I339">
        <v>0</v>
      </c>
      <c r="J339">
        <v>2493.38</v>
      </c>
      <c r="K339">
        <v>0</v>
      </c>
      <c r="L339">
        <v>2024</v>
      </c>
    </row>
    <row r="340" spans="1:12" x14ac:dyDescent="0.25">
      <c r="A340" s="1" t="s">
        <v>374</v>
      </c>
      <c r="B340" s="1" t="s">
        <v>17</v>
      </c>
      <c r="C340">
        <v>100</v>
      </c>
      <c r="D340" s="1" t="s">
        <v>340</v>
      </c>
      <c r="E340">
        <v>88746.45</v>
      </c>
      <c r="F340">
        <v>87320.98</v>
      </c>
      <c r="G340">
        <v>44</v>
      </c>
      <c r="H340">
        <v>28</v>
      </c>
      <c r="I340">
        <v>9771.64</v>
      </c>
      <c r="J340">
        <v>1288.1600000000001</v>
      </c>
      <c r="K340">
        <v>0</v>
      </c>
      <c r="L340">
        <v>2024</v>
      </c>
    </row>
    <row r="341" spans="1:12" x14ac:dyDescent="0.25">
      <c r="A341" s="1" t="s">
        <v>375</v>
      </c>
      <c r="B341" s="1" t="s">
        <v>15</v>
      </c>
      <c r="C341">
        <v>109</v>
      </c>
      <c r="D341" s="1" t="s">
        <v>340</v>
      </c>
      <c r="E341">
        <v>88001.32</v>
      </c>
      <c r="F341">
        <v>76000.03</v>
      </c>
      <c r="G341">
        <v>10</v>
      </c>
      <c r="H341">
        <v>32</v>
      </c>
      <c r="I341">
        <v>25140.400000000001</v>
      </c>
      <c r="J341">
        <v>0</v>
      </c>
      <c r="K341">
        <v>0</v>
      </c>
      <c r="L341">
        <v>2024</v>
      </c>
    </row>
    <row r="342" spans="1:12" x14ac:dyDescent="0.25">
      <c r="A342" s="1" t="s">
        <v>376</v>
      </c>
      <c r="B342" s="1" t="s">
        <v>17</v>
      </c>
      <c r="C342">
        <v>110</v>
      </c>
      <c r="D342" s="1" t="s">
        <v>340</v>
      </c>
      <c r="E342">
        <v>78799.45</v>
      </c>
      <c r="F342">
        <v>58532.49</v>
      </c>
      <c r="G342">
        <v>25</v>
      </c>
      <c r="H342">
        <v>43</v>
      </c>
      <c r="I342">
        <v>65201.59</v>
      </c>
      <c r="J342">
        <v>3619.55</v>
      </c>
      <c r="K342">
        <v>0</v>
      </c>
      <c r="L342">
        <v>2024</v>
      </c>
    </row>
    <row r="343" spans="1:12" x14ac:dyDescent="0.25">
      <c r="A343" s="1" t="s">
        <v>377</v>
      </c>
      <c r="B343" s="1" t="s">
        <v>18</v>
      </c>
      <c r="C343">
        <v>65</v>
      </c>
      <c r="D343" s="1" t="s">
        <v>340</v>
      </c>
      <c r="E343">
        <v>56047.44</v>
      </c>
      <c r="F343">
        <v>37407.64</v>
      </c>
      <c r="G343">
        <v>26</v>
      </c>
      <c r="H343">
        <v>9</v>
      </c>
      <c r="I343">
        <v>29398.23</v>
      </c>
      <c r="J343">
        <v>0</v>
      </c>
      <c r="K343">
        <v>0</v>
      </c>
      <c r="L343">
        <v>2024</v>
      </c>
    </row>
    <row r="344" spans="1:12" x14ac:dyDescent="0.25">
      <c r="A344" s="1" t="s">
        <v>378</v>
      </c>
      <c r="B344" s="1" t="s">
        <v>18</v>
      </c>
      <c r="C344">
        <v>49</v>
      </c>
      <c r="D344" s="1" t="s">
        <v>340</v>
      </c>
      <c r="E344">
        <v>40997.870000000003</v>
      </c>
      <c r="F344">
        <v>26606.53</v>
      </c>
      <c r="G344">
        <v>41</v>
      </c>
      <c r="H344">
        <v>22</v>
      </c>
      <c r="I344">
        <v>39829.730000000003</v>
      </c>
      <c r="J344">
        <v>1749.3</v>
      </c>
      <c r="K344">
        <v>0</v>
      </c>
      <c r="L344">
        <v>2024</v>
      </c>
    </row>
    <row r="345" spans="1:12" x14ac:dyDescent="0.25">
      <c r="A345" s="1" t="s">
        <v>379</v>
      </c>
      <c r="B345" s="1" t="s">
        <v>18</v>
      </c>
      <c r="C345">
        <v>75</v>
      </c>
      <c r="D345" s="1" t="s">
        <v>340</v>
      </c>
      <c r="E345">
        <v>51928.12</v>
      </c>
      <c r="F345">
        <v>37821.120000000003</v>
      </c>
      <c r="G345">
        <v>43</v>
      </c>
      <c r="H345">
        <v>34</v>
      </c>
      <c r="I345">
        <v>5437.72</v>
      </c>
      <c r="J345">
        <v>4071.17</v>
      </c>
      <c r="K345">
        <v>0</v>
      </c>
      <c r="L345">
        <v>2024</v>
      </c>
    </row>
    <row r="346" spans="1:12" x14ac:dyDescent="0.25">
      <c r="A346" s="1" t="s">
        <v>380</v>
      </c>
      <c r="B346" s="1" t="s">
        <v>14</v>
      </c>
      <c r="C346">
        <v>72</v>
      </c>
      <c r="D346" s="1" t="s">
        <v>340</v>
      </c>
      <c r="E346">
        <v>55782.47</v>
      </c>
      <c r="F346">
        <v>41199.800000000003</v>
      </c>
      <c r="G346">
        <v>44</v>
      </c>
      <c r="H346">
        <v>24</v>
      </c>
      <c r="I346">
        <v>66721.87</v>
      </c>
      <c r="J346">
        <v>310.5</v>
      </c>
      <c r="K346">
        <v>0</v>
      </c>
      <c r="L346">
        <v>2024</v>
      </c>
    </row>
    <row r="347" spans="1:12" x14ac:dyDescent="0.25">
      <c r="A347" s="1" t="s">
        <v>381</v>
      </c>
      <c r="B347" s="1" t="s">
        <v>15</v>
      </c>
      <c r="C347">
        <v>83</v>
      </c>
      <c r="D347" s="1" t="s">
        <v>340</v>
      </c>
      <c r="E347">
        <v>80707.100000000006</v>
      </c>
      <c r="F347">
        <v>84144.59</v>
      </c>
      <c r="G347">
        <v>41</v>
      </c>
      <c r="H347">
        <v>30</v>
      </c>
      <c r="I347">
        <v>42679.13</v>
      </c>
      <c r="J347">
        <v>2821</v>
      </c>
      <c r="K347">
        <v>1</v>
      </c>
      <c r="L347">
        <v>2024</v>
      </c>
    </row>
    <row r="348" spans="1:12" x14ac:dyDescent="0.25">
      <c r="A348" s="1" t="s">
        <v>382</v>
      </c>
      <c r="B348" s="1" t="s">
        <v>16</v>
      </c>
      <c r="C348">
        <v>115</v>
      </c>
      <c r="D348" s="1" t="s">
        <v>340</v>
      </c>
      <c r="E348">
        <v>88698.46</v>
      </c>
      <c r="F348">
        <v>79323.83</v>
      </c>
      <c r="G348">
        <v>49</v>
      </c>
      <c r="H348">
        <v>18</v>
      </c>
      <c r="I348">
        <v>48065.75</v>
      </c>
      <c r="J348">
        <v>10093.5</v>
      </c>
      <c r="K348">
        <v>0</v>
      </c>
      <c r="L348">
        <v>2024</v>
      </c>
    </row>
    <row r="349" spans="1:12" x14ac:dyDescent="0.25">
      <c r="A349" s="1" t="s">
        <v>383</v>
      </c>
      <c r="B349" s="1" t="s">
        <v>18</v>
      </c>
      <c r="C349">
        <v>92</v>
      </c>
      <c r="D349" s="1" t="s">
        <v>340</v>
      </c>
      <c r="E349">
        <v>64077.13</v>
      </c>
      <c r="F349">
        <v>43788.55</v>
      </c>
      <c r="G349">
        <v>18</v>
      </c>
      <c r="H349">
        <v>14</v>
      </c>
      <c r="I349">
        <v>19047.07</v>
      </c>
      <c r="J349">
        <v>0</v>
      </c>
      <c r="K349">
        <v>0</v>
      </c>
      <c r="L349">
        <v>2024</v>
      </c>
    </row>
    <row r="350" spans="1:12" x14ac:dyDescent="0.25">
      <c r="A350" s="1" t="s">
        <v>384</v>
      </c>
      <c r="B350" s="1" t="s">
        <v>12</v>
      </c>
      <c r="C350">
        <v>103</v>
      </c>
      <c r="D350" s="1" t="s">
        <v>340</v>
      </c>
      <c r="E350">
        <v>85578.69</v>
      </c>
      <c r="F350">
        <v>69263.75</v>
      </c>
      <c r="G350">
        <v>35</v>
      </c>
      <c r="H350">
        <v>25</v>
      </c>
      <c r="I350">
        <v>19805.32</v>
      </c>
      <c r="J350">
        <v>792.41</v>
      </c>
      <c r="K350">
        <v>0</v>
      </c>
      <c r="L350">
        <v>2024</v>
      </c>
    </row>
    <row r="351" spans="1:12" x14ac:dyDescent="0.25">
      <c r="A351" s="1" t="s">
        <v>385</v>
      </c>
      <c r="B351" s="1" t="s">
        <v>14</v>
      </c>
      <c r="C351">
        <v>33</v>
      </c>
      <c r="D351" s="1" t="s">
        <v>340</v>
      </c>
      <c r="E351">
        <v>35683.25</v>
      </c>
      <c r="F351">
        <v>29348.79</v>
      </c>
      <c r="G351">
        <v>47</v>
      </c>
      <c r="H351">
        <v>51</v>
      </c>
      <c r="I351">
        <v>0</v>
      </c>
      <c r="J351">
        <v>466.1</v>
      </c>
      <c r="K351">
        <v>0</v>
      </c>
      <c r="L351">
        <v>2024</v>
      </c>
    </row>
    <row r="352" spans="1:12" x14ac:dyDescent="0.25">
      <c r="A352" s="1" t="s">
        <v>386</v>
      </c>
      <c r="B352" s="1" t="s">
        <v>16</v>
      </c>
      <c r="C352">
        <v>6</v>
      </c>
      <c r="D352" s="1" t="s">
        <v>340</v>
      </c>
      <c r="E352">
        <v>7698.7</v>
      </c>
      <c r="F352">
        <v>8257.7800000000007</v>
      </c>
      <c r="G352">
        <v>26</v>
      </c>
      <c r="H352">
        <v>64</v>
      </c>
      <c r="I352">
        <v>76776.2</v>
      </c>
      <c r="J352">
        <v>0</v>
      </c>
      <c r="K352">
        <v>0</v>
      </c>
      <c r="L352">
        <v>2024</v>
      </c>
    </row>
    <row r="353" spans="1:12" x14ac:dyDescent="0.25">
      <c r="A353" s="1" t="s">
        <v>387</v>
      </c>
      <c r="B353" s="1" t="s">
        <v>15</v>
      </c>
      <c r="C353">
        <v>114</v>
      </c>
      <c r="D353" s="1" t="s">
        <v>340</v>
      </c>
      <c r="E353">
        <v>98290.98</v>
      </c>
      <c r="F353">
        <v>79117.98</v>
      </c>
      <c r="G353">
        <v>40</v>
      </c>
      <c r="H353">
        <v>76</v>
      </c>
      <c r="I353">
        <v>40657.33</v>
      </c>
      <c r="J353">
        <v>4483.9399999999996</v>
      </c>
      <c r="K353">
        <v>0</v>
      </c>
      <c r="L353">
        <v>2024</v>
      </c>
    </row>
    <row r="354" spans="1:12" x14ac:dyDescent="0.25">
      <c r="A354" s="1" t="s">
        <v>388</v>
      </c>
      <c r="B354" s="1" t="s">
        <v>17</v>
      </c>
      <c r="C354">
        <v>21</v>
      </c>
      <c r="D354" s="1" t="s">
        <v>340</v>
      </c>
      <c r="E354">
        <v>27455.360000000001</v>
      </c>
      <c r="F354">
        <v>15941.62</v>
      </c>
      <c r="G354">
        <v>20</v>
      </c>
      <c r="H354">
        <v>48</v>
      </c>
      <c r="I354">
        <v>0</v>
      </c>
      <c r="J354">
        <v>329.6</v>
      </c>
      <c r="K354">
        <v>0</v>
      </c>
      <c r="L354">
        <v>2024</v>
      </c>
    </row>
    <row r="355" spans="1:12" x14ac:dyDescent="0.25">
      <c r="A355" s="1" t="s">
        <v>389</v>
      </c>
      <c r="B355" s="1" t="s">
        <v>17</v>
      </c>
      <c r="C355">
        <v>3</v>
      </c>
      <c r="D355" s="1" t="s">
        <v>340</v>
      </c>
      <c r="E355">
        <v>20901.71</v>
      </c>
      <c r="F355">
        <v>18285.400000000001</v>
      </c>
      <c r="G355">
        <v>49</v>
      </c>
      <c r="H355">
        <v>23</v>
      </c>
      <c r="I355">
        <v>23545.93</v>
      </c>
      <c r="J355">
        <v>3559.39</v>
      </c>
      <c r="K355">
        <v>0</v>
      </c>
      <c r="L355">
        <v>2024</v>
      </c>
    </row>
    <row r="356" spans="1:12" x14ac:dyDescent="0.25">
      <c r="A356" s="1" t="s">
        <v>390</v>
      </c>
      <c r="B356" s="1" t="s">
        <v>14</v>
      </c>
      <c r="C356">
        <v>91</v>
      </c>
      <c r="D356" s="1" t="s">
        <v>340</v>
      </c>
      <c r="E356">
        <v>74782.7</v>
      </c>
      <c r="F356">
        <v>79573.84</v>
      </c>
      <c r="G356">
        <v>61</v>
      </c>
      <c r="H356">
        <v>19</v>
      </c>
      <c r="I356">
        <v>53565.96</v>
      </c>
      <c r="J356">
        <v>7065.02</v>
      </c>
      <c r="K356">
        <v>0</v>
      </c>
      <c r="L356">
        <v>2024</v>
      </c>
    </row>
    <row r="357" spans="1:12" x14ac:dyDescent="0.25">
      <c r="A357" s="1" t="s">
        <v>391</v>
      </c>
      <c r="B357" s="1" t="s">
        <v>15</v>
      </c>
      <c r="C357">
        <v>72</v>
      </c>
      <c r="D357" s="1" t="s">
        <v>340</v>
      </c>
      <c r="E357">
        <v>47026.3</v>
      </c>
      <c r="F357">
        <v>34650.99</v>
      </c>
      <c r="G357">
        <v>33</v>
      </c>
      <c r="H357">
        <v>12</v>
      </c>
      <c r="I357">
        <v>53285.93</v>
      </c>
      <c r="J357">
        <v>4561.71</v>
      </c>
      <c r="K357">
        <v>0</v>
      </c>
      <c r="L357">
        <v>2024</v>
      </c>
    </row>
    <row r="358" spans="1:12" x14ac:dyDescent="0.25">
      <c r="A358" s="1" t="s">
        <v>392</v>
      </c>
      <c r="B358" s="1" t="s">
        <v>16</v>
      </c>
      <c r="C358">
        <v>33</v>
      </c>
      <c r="D358" s="1" t="s">
        <v>340</v>
      </c>
      <c r="E358">
        <v>36533.11</v>
      </c>
      <c r="F358">
        <v>29955.73</v>
      </c>
      <c r="G358">
        <v>50</v>
      </c>
      <c r="H358">
        <v>25</v>
      </c>
      <c r="I358">
        <v>26326.6</v>
      </c>
      <c r="J358">
        <v>1228.4100000000001</v>
      </c>
      <c r="K358">
        <v>0</v>
      </c>
      <c r="L358">
        <v>2024</v>
      </c>
    </row>
    <row r="359" spans="1:12" x14ac:dyDescent="0.25">
      <c r="A359" s="1" t="s">
        <v>393</v>
      </c>
      <c r="B359" s="1" t="s">
        <v>14</v>
      </c>
      <c r="C359">
        <v>24</v>
      </c>
      <c r="D359" s="1" t="s">
        <v>340</v>
      </c>
      <c r="E359">
        <v>26373.919999999998</v>
      </c>
      <c r="F359">
        <v>28230.75</v>
      </c>
      <c r="G359">
        <v>29</v>
      </c>
      <c r="H359">
        <v>39</v>
      </c>
      <c r="I359">
        <v>9309.69</v>
      </c>
      <c r="J359">
        <v>7478.53</v>
      </c>
      <c r="K359">
        <v>1</v>
      </c>
      <c r="L359">
        <v>2024</v>
      </c>
    </row>
    <row r="360" spans="1:12" x14ac:dyDescent="0.25">
      <c r="A360" s="1" t="s">
        <v>394</v>
      </c>
      <c r="B360" s="1" t="s">
        <v>12</v>
      </c>
      <c r="C360">
        <v>27</v>
      </c>
      <c r="D360" s="1" t="s">
        <v>340</v>
      </c>
      <c r="E360">
        <v>23216.49</v>
      </c>
      <c r="F360">
        <v>24317.51</v>
      </c>
      <c r="G360">
        <v>36</v>
      </c>
      <c r="H360">
        <v>21</v>
      </c>
      <c r="I360">
        <v>31043.74</v>
      </c>
      <c r="J360">
        <v>4668.16</v>
      </c>
      <c r="K360">
        <v>0</v>
      </c>
      <c r="L360">
        <v>2024</v>
      </c>
    </row>
    <row r="361" spans="1:12" x14ac:dyDescent="0.25">
      <c r="A361" s="1" t="s">
        <v>395</v>
      </c>
      <c r="B361" s="1" t="s">
        <v>17</v>
      </c>
      <c r="C361">
        <v>105</v>
      </c>
      <c r="D361" s="1" t="s">
        <v>340</v>
      </c>
      <c r="E361">
        <v>99782.18</v>
      </c>
      <c r="F361">
        <v>106766.3</v>
      </c>
      <c r="G361">
        <v>62</v>
      </c>
      <c r="H361">
        <v>32</v>
      </c>
      <c r="I361">
        <v>55530.66</v>
      </c>
      <c r="J361">
        <v>4071.86</v>
      </c>
      <c r="K361">
        <v>0</v>
      </c>
      <c r="L361">
        <v>2024</v>
      </c>
    </row>
    <row r="362" spans="1:12" x14ac:dyDescent="0.25">
      <c r="A362" s="1" t="s">
        <v>396</v>
      </c>
      <c r="B362" s="1" t="s">
        <v>18</v>
      </c>
      <c r="C362">
        <v>37</v>
      </c>
      <c r="D362" s="1" t="s">
        <v>340</v>
      </c>
      <c r="E362">
        <v>44574.879999999997</v>
      </c>
      <c r="F362">
        <v>35385.449999999997</v>
      </c>
      <c r="G362">
        <v>57</v>
      </c>
      <c r="H362">
        <v>41</v>
      </c>
      <c r="I362">
        <v>19785.07</v>
      </c>
      <c r="J362">
        <v>1089.53</v>
      </c>
      <c r="K362">
        <v>0</v>
      </c>
      <c r="L362">
        <v>2024</v>
      </c>
    </row>
    <row r="363" spans="1:12" x14ac:dyDescent="0.25">
      <c r="A363" s="1" t="s">
        <v>397</v>
      </c>
      <c r="B363" s="1" t="s">
        <v>17</v>
      </c>
      <c r="C363">
        <v>19</v>
      </c>
      <c r="D363" s="1" t="s">
        <v>340</v>
      </c>
      <c r="E363">
        <v>30532.720000000001</v>
      </c>
      <c r="F363">
        <v>29814.68</v>
      </c>
      <c r="G363">
        <v>29</v>
      </c>
      <c r="H363">
        <v>32</v>
      </c>
      <c r="I363">
        <v>24598.85</v>
      </c>
      <c r="J363">
        <v>103.6</v>
      </c>
      <c r="K363">
        <v>1</v>
      </c>
      <c r="L363">
        <v>2024</v>
      </c>
    </row>
    <row r="364" spans="1:12" x14ac:dyDescent="0.25">
      <c r="A364" s="1" t="s">
        <v>398</v>
      </c>
      <c r="B364" s="1" t="s">
        <v>18</v>
      </c>
      <c r="C364">
        <v>120</v>
      </c>
      <c r="D364" s="1" t="s">
        <v>340</v>
      </c>
      <c r="E364">
        <v>110982.26</v>
      </c>
      <c r="F364">
        <v>113355.65</v>
      </c>
      <c r="G364">
        <v>47</v>
      </c>
      <c r="H364">
        <v>55</v>
      </c>
      <c r="I364">
        <v>75144.28</v>
      </c>
      <c r="J364">
        <v>11560.47</v>
      </c>
      <c r="K364">
        <v>1</v>
      </c>
      <c r="L364">
        <v>2024</v>
      </c>
    </row>
    <row r="365" spans="1:12" x14ac:dyDescent="0.25">
      <c r="A365" s="1" t="s">
        <v>399</v>
      </c>
      <c r="B365" s="1" t="s">
        <v>14</v>
      </c>
      <c r="C365">
        <v>37</v>
      </c>
      <c r="D365" s="1" t="s">
        <v>340</v>
      </c>
      <c r="E365">
        <v>37069.83</v>
      </c>
      <c r="F365">
        <v>27527.16</v>
      </c>
      <c r="G365">
        <v>36</v>
      </c>
      <c r="H365">
        <v>32</v>
      </c>
      <c r="I365">
        <v>73660.5</v>
      </c>
      <c r="J365">
        <v>5238.26</v>
      </c>
      <c r="K365">
        <v>0</v>
      </c>
      <c r="L365">
        <v>2024</v>
      </c>
    </row>
    <row r="366" spans="1:12" x14ac:dyDescent="0.25">
      <c r="A366" s="1" t="s">
        <v>400</v>
      </c>
      <c r="B366" s="1" t="s">
        <v>14</v>
      </c>
      <c r="C366">
        <v>10</v>
      </c>
      <c r="D366" s="1" t="s">
        <v>340</v>
      </c>
      <c r="E366">
        <v>24935.53</v>
      </c>
      <c r="F366">
        <v>20765.27</v>
      </c>
      <c r="G366">
        <v>22</v>
      </c>
      <c r="H366">
        <v>10</v>
      </c>
      <c r="I366">
        <v>31765.01</v>
      </c>
      <c r="J366">
        <v>0</v>
      </c>
      <c r="K366">
        <v>0</v>
      </c>
      <c r="L366">
        <v>2024</v>
      </c>
    </row>
    <row r="367" spans="1:12" x14ac:dyDescent="0.25">
      <c r="A367" s="1" t="s">
        <v>401</v>
      </c>
      <c r="B367" s="1" t="s">
        <v>12</v>
      </c>
      <c r="C367">
        <v>5</v>
      </c>
      <c r="D367" s="1" t="s">
        <v>340</v>
      </c>
      <c r="E367">
        <v>13481.82</v>
      </c>
      <c r="F367">
        <v>10896.57</v>
      </c>
      <c r="G367">
        <v>55</v>
      </c>
      <c r="H367">
        <v>26</v>
      </c>
      <c r="I367">
        <v>57800.37</v>
      </c>
      <c r="J367">
        <v>4230.7</v>
      </c>
      <c r="K367">
        <v>0</v>
      </c>
      <c r="L367">
        <v>2024</v>
      </c>
    </row>
    <row r="368" spans="1:12" x14ac:dyDescent="0.25">
      <c r="A368" s="1" t="s">
        <v>402</v>
      </c>
      <c r="B368" s="1" t="s">
        <v>15</v>
      </c>
      <c r="C368">
        <v>76</v>
      </c>
      <c r="D368" s="1" t="s">
        <v>340</v>
      </c>
      <c r="E368">
        <v>79629.22</v>
      </c>
      <c r="F368">
        <v>84078.12</v>
      </c>
      <c r="G368">
        <v>48</v>
      </c>
      <c r="H368">
        <v>38</v>
      </c>
      <c r="I368">
        <v>51292.03</v>
      </c>
      <c r="J368">
        <v>502.18</v>
      </c>
      <c r="K368">
        <v>1</v>
      </c>
      <c r="L368">
        <v>2024</v>
      </c>
    </row>
    <row r="369" spans="1:12" x14ac:dyDescent="0.25">
      <c r="A369" s="1" t="s">
        <v>403</v>
      </c>
      <c r="B369" s="1" t="s">
        <v>16</v>
      </c>
      <c r="C369">
        <v>119</v>
      </c>
      <c r="D369" s="1" t="s">
        <v>340</v>
      </c>
      <c r="E369">
        <v>83533.899999999994</v>
      </c>
      <c r="F369">
        <v>69859.37</v>
      </c>
      <c r="G369">
        <v>48</v>
      </c>
      <c r="H369">
        <v>64</v>
      </c>
      <c r="I369">
        <v>62746.39</v>
      </c>
      <c r="J369">
        <v>0</v>
      </c>
      <c r="K369">
        <v>0</v>
      </c>
      <c r="L369">
        <v>2024</v>
      </c>
    </row>
    <row r="370" spans="1:12" x14ac:dyDescent="0.25">
      <c r="A370" s="1" t="s">
        <v>404</v>
      </c>
      <c r="B370" s="1" t="s">
        <v>14</v>
      </c>
      <c r="C370">
        <v>12</v>
      </c>
      <c r="D370" s="1" t="s">
        <v>340</v>
      </c>
      <c r="E370">
        <v>15371.13</v>
      </c>
      <c r="F370">
        <v>13662.23</v>
      </c>
      <c r="G370">
        <v>68</v>
      </c>
      <c r="H370">
        <v>33</v>
      </c>
      <c r="I370">
        <v>36004.46</v>
      </c>
      <c r="J370">
        <v>0</v>
      </c>
      <c r="K370">
        <v>1</v>
      </c>
      <c r="L370">
        <v>2024</v>
      </c>
    </row>
    <row r="371" spans="1:12" x14ac:dyDescent="0.25">
      <c r="A371" s="1" t="s">
        <v>405</v>
      </c>
      <c r="B371" s="1" t="s">
        <v>17</v>
      </c>
      <c r="C371">
        <v>113</v>
      </c>
      <c r="D371" s="1" t="s">
        <v>340</v>
      </c>
      <c r="E371">
        <v>87360.91</v>
      </c>
      <c r="F371">
        <v>72751.55</v>
      </c>
      <c r="G371">
        <v>41</v>
      </c>
      <c r="H371">
        <v>3</v>
      </c>
      <c r="I371">
        <v>46063.12</v>
      </c>
      <c r="J371">
        <v>9072.2999999999993</v>
      </c>
      <c r="K371">
        <v>0</v>
      </c>
      <c r="L371">
        <v>2024</v>
      </c>
    </row>
    <row r="372" spans="1:12" x14ac:dyDescent="0.25">
      <c r="A372" s="1" t="s">
        <v>406</v>
      </c>
      <c r="B372" s="1" t="s">
        <v>17</v>
      </c>
      <c r="C372">
        <v>57</v>
      </c>
      <c r="D372" s="1" t="s">
        <v>340</v>
      </c>
      <c r="E372">
        <v>53571.4</v>
      </c>
      <c r="F372">
        <v>43357.08</v>
      </c>
      <c r="G372">
        <v>80</v>
      </c>
      <c r="H372">
        <v>25</v>
      </c>
      <c r="I372">
        <v>5522.27</v>
      </c>
      <c r="J372">
        <v>0</v>
      </c>
      <c r="K372">
        <v>0</v>
      </c>
      <c r="L372">
        <v>2024</v>
      </c>
    </row>
    <row r="373" spans="1:12" x14ac:dyDescent="0.25">
      <c r="A373" s="1" t="s">
        <v>407</v>
      </c>
      <c r="B373" s="1" t="s">
        <v>18</v>
      </c>
      <c r="C373">
        <v>84</v>
      </c>
      <c r="D373" s="1" t="s">
        <v>340</v>
      </c>
      <c r="E373">
        <v>68167.899999999994</v>
      </c>
      <c r="F373">
        <v>72523.149999999994</v>
      </c>
      <c r="G373">
        <v>35</v>
      </c>
      <c r="H373">
        <v>0</v>
      </c>
      <c r="I373">
        <v>55325.83</v>
      </c>
      <c r="J373">
        <v>0</v>
      </c>
      <c r="K373">
        <v>0</v>
      </c>
      <c r="L373">
        <v>2024</v>
      </c>
    </row>
    <row r="374" spans="1:12" x14ac:dyDescent="0.25">
      <c r="A374" s="1" t="s">
        <v>408</v>
      </c>
      <c r="B374" s="1" t="s">
        <v>15</v>
      </c>
      <c r="C374">
        <v>34</v>
      </c>
      <c r="D374" s="1" t="s">
        <v>340</v>
      </c>
      <c r="E374">
        <v>42030.73</v>
      </c>
      <c r="F374">
        <v>24937.64</v>
      </c>
      <c r="G374">
        <v>35</v>
      </c>
      <c r="H374">
        <v>9</v>
      </c>
      <c r="I374">
        <v>17387.240000000002</v>
      </c>
      <c r="J374">
        <v>12069.55</v>
      </c>
      <c r="K374">
        <v>0</v>
      </c>
      <c r="L374">
        <v>2024</v>
      </c>
    </row>
    <row r="375" spans="1:12" x14ac:dyDescent="0.25">
      <c r="A375" s="1" t="s">
        <v>409</v>
      </c>
      <c r="B375" s="1" t="s">
        <v>14</v>
      </c>
      <c r="C375">
        <v>69</v>
      </c>
      <c r="D375" s="1" t="s">
        <v>340</v>
      </c>
      <c r="E375">
        <v>61075.86</v>
      </c>
      <c r="F375">
        <v>44014.95</v>
      </c>
      <c r="G375">
        <v>11</v>
      </c>
      <c r="H375">
        <v>46</v>
      </c>
      <c r="I375">
        <v>49862.83</v>
      </c>
      <c r="J375">
        <v>3627.96</v>
      </c>
      <c r="K375">
        <v>0</v>
      </c>
      <c r="L375">
        <v>2024</v>
      </c>
    </row>
    <row r="376" spans="1:12" x14ac:dyDescent="0.25">
      <c r="A376" s="1" t="s">
        <v>410</v>
      </c>
      <c r="B376" s="1" t="s">
        <v>16</v>
      </c>
      <c r="C376">
        <v>71</v>
      </c>
      <c r="D376" s="1" t="s">
        <v>340</v>
      </c>
      <c r="E376">
        <v>67716.95</v>
      </c>
      <c r="F376">
        <v>48295.88</v>
      </c>
      <c r="G376">
        <v>44</v>
      </c>
      <c r="H376">
        <v>10</v>
      </c>
      <c r="I376">
        <v>29204.04</v>
      </c>
      <c r="J376">
        <v>6668.4</v>
      </c>
      <c r="K376">
        <v>0</v>
      </c>
      <c r="L376">
        <v>2024</v>
      </c>
    </row>
    <row r="377" spans="1:12" x14ac:dyDescent="0.25">
      <c r="A377" s="1" t="s">
        <v>411</v>
      </c>
      <c r="B377" s="1" t="s">
        <v>12</v>
      </c>
      <c r="C377">
        <v>106</v>
      </c>
      <c r="D377" s="1" t="s">
        <v>340</v>
      </c>
      <c r="E377">
        <v>78367.839999999997</v>
      </c>
      <c r="F377">
        <v>62447.01</v>
      </c>
      <c r="G377">
        <v>28</v>
      </c>
      <c r="H377">
        <v>17</v>
      </c>
      <c r="I377">
        <v>658.88</v>
      </c>
      <c r="J377">
        <v>6688.83</v>
      </c>
      <c r="K377">
        <v>0</v>
      </c>
      <c r="L377">
        <v>2024</v>
      </c>
    </row>
    <row r="378" spans="1:12" x14ac:dyDescent="0.25">
      <c r="A378" s="1" t="s">
        <v>412</v>
      </c>
      <c r="B378" s="1" t="s">
        <v>14</v>
      </c>
      <c r="C378">
        <v>15</v>
      </c>
      <c r="D378" s="1" t="s">
        <v>340</v>
      </c>
      <c r="E378">
        <v>20461.91</v>
      </c>
      <c r="F378">
        <v>15076.51</v>
      </c>
      <c r="G378">
        <v>39</v>
      </c>
      <c r="H378">
        <v>42</v>
      </c>
      <c r="I378">
        <v>52148.83</v>
      </c>
      <c r="J378">
        <v>2966.62</v>
      </c>
      <c r="K378">
        <v>0</v>
      </c>
      <c r="L378">
        <v>2024</v>
      </c>
    </row>
    <row r="379" spans="1:12" x14ac:dyDescent="0.25">
      <c r="A379" s="1" t="s">
        <v>413</v>
      </c>
      <c r="B379" s="1" t="s">
        <v>17</v>
      </c>
      <c r="C379">
        <v>14</v>
      </c>
      <c r="D379" s="1" t="s">
        <v>340</v>
      </c>
      <c r="E379">
        <v>8153</v>
      </c>
      <c r="F379">
        <v>5504.14</v>
      </c>
      <c r="G379">
        <v>17</v>
      </c>
      <c r="H379">
        <v>22</v>
      </c>
      <c r="I379">
        <v>46499.92</v>
      </c>
      <c r="J379">
        <v>0</v>
      </c>
      <c r="K379">
        <v>0</v>
      </c>
      <c r="L379">
        <v>2024</v>
      </c>
    </row>
    <row r="380" spans="1:12" x14ac:dyDescent="0.25">
      <c r="A380" s="1" t="s">
        <v>414</v>
      </c>
      <c r="B380" s="1" t="s">
        <v>17</v>
      </c>
      <c r="C380">
        <v>7</v>
      </c>
      <c r="D380" s="1" t="s">
        <v>340</v>
      </c>
      <c r="E380">
        <v>11624.64</v>
      </c>
      <c r="F380">
        <v>8554.17</v>
      </c>
      <c r="G380">
        <v>39</v>
      </c>
      <c r="H380">
        <v>41</v>
      </c>
      <c r="I380">
        <v>27575.09</v>
      </c>
      <c r="J380">
        <v>1223.6099999999999</v>
      </c>
      <c r="K380">
        <v>0</v>
      </c>
      <c r="L380">
        <v>2024</v>
      </c>
    </row>
    <row r="381" spans="1:12" x14ac:dyDescent="0.25">
      <c r="A381" s="1" t="s">
        <v>415</v>
      </c>
      <c r="B381" s="1" t="s">
        <v>12</v>
      </c>
      <c r="C381">
        <v>75</v>
      </c>
      <c r="D381" s="1" t="s">
        <v>340</v>
      </c>
      <c r="E381">
        <v>50556.03</v>
      </c>
      <c r="F381">
        <v>42568.61</v>
      </c>
      <c r="G381">
        <v>34</v>
      </c>
      <c r="H381">
        <v>10</v>
      </c>
      <c r="I381">
        <v>23412.87</v>
      </c>
      <c r="J381">
        <v>3450.47</v>
      </c>
      <c r="K381">
        <v>1</v>
      </c>
      <c r="L381">
        <v>2024</v>
      </c>
    </row>
    <row r="382" spans="1:12" x14ac:dyDescent="0.25">
      <c r="A382" s="1" t="s">
        <v>416</v>
      </c>
      <c r="B382" s="1" t="s">
        <v>17</v>
      </c>
      <c r="C382">
        <v>116</v>
      </c>
      <c r="D382" s="1" t="s">
        <v>340</v>
      </c>
      <c r="E382">
        <v>105739.08</v>
      </c>
      <c r="F382">
        <v>64315.49</v>
      </c>
      <c r="G382">
        <v>59</v>
      </c>
      <c r="H382">
        <v>27</v>
      </c>
      <c r="I382">
        <v>20251.900000000001</v>
      </c>
      <c r="J382">
        <v>0</v>
      </c>
      <c r="K382">
        <v>1</v>
      </c>
      <c r="L382">
        <v>2024</v>
      </c>
    </row>
    <row r="383" spans="1:12" x14ac:dyDescent="0.25">
      <c r="A383" s="1" t="s">
        <v>417</v>
      </c>
      <c r="B383" s="1" t="s">
        <v>14</v>
      </c>
      <c r="C383">
        <v>53</v>
      </c>
      <c r="D383" s="1" t="s">
        <v>340</v>
      </c>
      <c r="E383">
        <v>41690.620000000003</v>
      </c>
      <c r="F383">
        <v>32361.97</v>
      </c>
      <c r="G383">
        <v>51</v>
      </c>
      <c r="H383">
        <v>10</v>
      </c>
      <c r="I383">
        <v>17486.55</v>
      </c>
      <c r="J383">
        <v>0</v>
      </c>
      <c r="K383">
        <v>0</v>
      </c>
      <c r="L383">
        <v>2024</v>
      </c>
    </row>
    <row r="384" spans="1:12" x14ac:dyDescent="0.25">
      <c r="A384" s="1" t="s">
        <v>418</v>
      </c>
      <c r="B384" s="1" t="s">
        <v>17</v>
      </c>
      <c r="C384">
        <v>15</v>
      </c>
      <c r="D384" s="1" t="s">
        <v>340</v>
      </c>
      <c r="E384">
        <v>15215.53</v>
      </c>
      <c r="F384">
        <v>13788.9</v>
      </c>
      <c r="G384">
        <v>54</v>
      </c>
      <c r="H384">
        <v>44</v>
      </c>
      <c r="I384">
        <v>72039.570000000007</v>
      </c>
      <c r="J384">
        <v>2833.84</v>
      </c>
      <c r="K384">
        <v>0</v>
      </c>
      <c r="L384">
        <v>2024</v>
      </c>
    </row>
    <row r="385" spans="1:12" x14ac:dyDescent="0.25">
      <c r="A385" s="1" t="s">
        <v>419</v>
      </c>
      <c r="B385" s="1" t="s">
        <v>16</v>
      </c>
      <c r="C385">
        <v>3</v>
      </c>
      <c r="D385" s="1" t="s">
        <v>340</v>
      </c>
      <c r="E385">
        <v>10656.71</v>
      </c>
      <c r="F385">
        <v>6390.03</v>
      </c>
      <c r="G385">
        <v>41</v>
      </c>
      <c r="H385">
        <v>38</v>
      </c>
      <c r="I385">
        <v>13558.48</v>
      </c>
      <c r="J385">
        <v>5271.95</v>
      </c>
      <c r="K385">
        <v>1</v>
      </c>
      <c r="L385">
        <v>2024</v>
      </c>
    </row>
    <row r="386" spans="1:12" x14ac:dyDescent="0.25">
      <c r="A386" s="1" t="s">
        <v>420</v>
      </c>
      <c r="B386" s="1" t="s">
        <v>17</v>
      </c>
      <c r="C386">
        <v>96</v>
      </c>
      <c r="D386" s="1" t="s">
        <v>340</v>
      </c>
      <c r="E386">
        <v>89959.18</v>
      </c>
      <c r="F386">
        <v>75477.27</v>
      </c>
      <c r="G386">
        <v>23</v>
      </c>
      <c r="H386">
        <v>20</v>
      </c>
      <c r="I386">
        <v>52855.55</v>
      </c>
      <c r="J386">
        <v>4186.2299999999996</v>
      </c>
      <c r="K386">
        <v>0</v>
      </c>
      <c r="L386">
        <v>2024</v>
      </c>
    </row>
    <row r="387" spans="1:12" x14ac:dyDescent="0.25">
      <c r="A387" s="1" t="s">
        <v>421</v>
      </c>
      <c r="B387" s="1" t="s">
        <v>17</v>
      </c>
      <c r="C387">
        <v>120</v>
      </c>
      <c r="D387" s="1" t="s">
        <v>422</v>
      </c>
      <c r="E387">
        <v>92776</v>
      </c>
      <c r="F387">
        <v>76652.52</v>
      </c>
      <c r="G387">
        <v>18</v>
      </c>
      <c r="H387">
        <v>26</v>
      </c>
      <c r="I387">
        <v>53318.75</v>
      </c>
      <c r="J387">
        <v>8531.1</v>
      </c>
      <c r="K387">
        <v>0</v>
      </c>
      <c r="L387">
        <v>2024</v>
      </c>
    </row>
    <row r="388" spans="1:12" x14ac:dyDescent="0.25">
      <c r="A388" s="1" t="s">
        <v>423</v>
      </c>
      <c r="B388" s="1" t="s">
        <v>16</v>
      </c>
      <c r="C388">
        <v>45</v>
      </c>
      <c r="D388" s="1" t="s">
        <v>422</v>
      </c>
      <c r="E388">
        <v>28573.99</v>
      </c>
      <c r="F388">
        <v>27677.03</v>
      </c>
      <c r="G388">
        <v>51</v>
      </c>
      <c r="H388">
        <v>12</v>
      </c>
      <c r="I388">
        <v>22622.84</v>
      </c>
      <c r="J388">
        <v>861.58</v>
      </c>
      <c r="K388">
        <v>0</v>
      </c>
      <c r="L388">
        <v>2024</v>
      </c>
    </row>
    <row r="389" spans="1:12" x14ac:dyDescent="0.25">
      <c r="A389" s="1" t="s">
        <v>424</v>
      </c>
      <c r="B389" s="1" t="s">
        <v>15</v>
      </c>
      <c r="C389">
        <v>55</v>
      </c>
      <c r="D389" s="1" t="s">
        <v>422</v>
      </c>
      <c r="E389">
        <v>44493.03</v>
      </c>
      <c r="F389">
        <v>29087.66</v>
      </c>
      <c r="G389">
        <v>65</v>
      </c>
      <c r="H389">
        <v>13</v>
      </c>
      <c r="I389">
        <v>0</v>
      </c>
      <c r="J389">
        <v>11766.24</v>
      </c>
      <c r="K389">
        <v>1</v>
      </c>
      <c r="L389">
        <v>2024</v>
      </c>
    </row>
    <row r="390" spans="1:12" x14ac:dyDescent="0.25">
      <c r="A390" s="1" t="s">
        <v>425</v>
      </c>
      <c r="B390" s="1" t="s">
        <v>15</v>
      </c>
      <c r="C390">
        <v>99</v>
      </c>
      <c r="D390" s="1" t="s">
        <v>422</v>
      </c>
      <c r="E390">
        <v>88475.1</v>
      </c>
      <c r="F390">
        <v>77490.38</v>
      </c>
      <c r="G390">
        <v>48</v>
      </c>
      <c r="H390">
        <v>39</v>
      </c>
      <c r="I390">
        <v>75767.69</v>
      </c>
      <c r="J390">
        <v>7659.93</v>
      </c>
      <c r="K390">
        <v>0</v>
      </c>
      <c r="L390">
        <v>2024</v>
      </c>
    </row>
    <row r="391" spans="1:12" x14ac:dyDescent="0.25">
      <c r="A391" s="1" t="s">
        <v>426</v>
      </c>
      <c r="B391" s="1" t="s">
        <v>16</v>
      </c>
      <c r="C391">
        <v>17</v>
      </c>
      <c r="D391" s="1" t="s">
        <v>422</v>
      </c>
      <c r="E391">
        <v>29421.42</v>
      </c>
      <c r="F391">
        <v>30255.46</v>
      </c>
      <c r="G391">
        <v>10</v>
      </c>
      <c r="H391">
        <v>39</v>
      </c>
      <c r="I391">
        <v>59455.07</v>
      </c>
      <c r="J391">
        <v>0</v>
      </c>
      <c r="K391">
        <v>0</v>
      </c>
      <c r="L391">
        <v>2024</v>
      </c>
    </row>
    <row r="392" spans="1:12" x14ac:dyDescent="0.25">
      <c r="A392" s="1" t="s">
        <v>427</v>
      </c>
      <c r="B392" s="1" t="s">
        <v>16</v>
      </c>
      <c r="C392">
        <v>63</v>
      </c>
      <c r="D392" s="1" t="s">
        <v>422</v>
      </c>
      <c r="E392">
        <v>59261.26</v>
      </c>
      <c r="F392">
        <v>60702.54</v>
      </c>
      <c r="G392">
        <v>35</v>
      </c>
      <c r="H392">
        <v>54</v>
      </c>
      <c r="I392">
        <v>8503.49</v>
      </c>
      <c r="J392">
        <v>2913.57</v>
      </c>
      <c r="K392">
        <v>0</v>
      </c>
      <c r="L392">
        <v>2024</v>
      </c>
    </row>
    <row r="393" spans="1:12" x14ac:dyDescent="0.25">
      <c r="A393" s="1" t="s">
        <v>428</v>
      </c>
      <c r="B393" s="1" t="s">
        <v>12</v>
      </c>
      <c r="C393">
        <v>91</v>
      </c>
      <c r="D393" s="1" t="s">
        <v>422</v>
      </c>
      <c r="E393">
        <v>69518.710000000006</v>
      </c>
      <c r="F393">
        <v>59258.48</v>
      </c>
      <c r="G393">
        <v>37</v>
      </c>
      <c r="H393">
        <v>13</v>
      </c>
      <c r="I393">
        <v>40258.43</v>
      </c>
      <c r="J393">
        <v>9617.69</v>
      </c>
      <c r="K393">
        <v>0</v>
      </c>
      <c r="L393">
        <v>2024</v>
      </c>
    </row>
    <row r="394" spans="1:12" x14ac:dyDescent="0.25">
      <c r="A394" s="1" t="s">
        <v>429</v>
      </c>
      <c r="B394" s="1" t="s">
        <v>12</v>
      </c>
      <c r="C394">
        <v>12</v>
      </c>
      <c r="D394" s="1" t="s">
        <v>422</v>
      </c>
      <c r="E394">
        <v>7809.55</v>
      </c>
      <c r="F394">
        <v>4543.1899999999996</v>
      </c>
      <c r="G394">
        <v>25</v>
      </c>
      <c r="H394">
        <v>31</v>
      </c>
      <c r="I394">
        <v>32340.54</v>
      </c>
      <c r="J394">
        <v>0</v>
      </c>
      <c r="K394">
        <v>0</v>
      </c>
      <c r="L394">
        <v>2024</v>
      </c>
    </row>
    <row r="395" spans="1:12" x14ac:dyDescent="0.25">
      <c r="A395" s="1" t="s">
        <v>430</v>
      </c>
      <c r="B395" s="1" t="s">
        <v>16</v>
      </c>
      <c r="C395">
        <v>89</v>
      </c>
      <c r="D395" s="1" t="s">
        <v>422</v>
      </c>
      <c r="E395">
        <v>51391.03</v>
      </c>
      <c r="F395">
        <v>30677.69</v>
      </c>
      <c r="G395">
        <v>30</v>
      </c>
      <c r="H395">
        <v>3</v>
      </c>
      <c r="I395">
        <v>30690.78</v>
      </c>
      <c r="J395">
        <v>0</v>
      </c>
      <c r="K395">
        <v>0</v>
      </c>
      <c r="L395">
        <v>2024</v>
      </c>
    </row>
    <row r="396" spans="1:12" x14ac:dyDescent="0.25">
      <c r="A396" s="1" t="s">
        <v>431</v>
      </c>
      <c r="B396" s="1" t="s">
        <v>15</v>
      </c>
      <c r="C396">
        <v>15</v>
      </c>
      <c r="D396" s="1" t="s">
        <v>422</v>
      </c>
      <c r="E396">
        <v>7036.43</v>
      </c>
      <c r="F396">
        <v>7302.54</v>
      </c>
      <c r="G396">
        <v>42</v>
      </c>
      <c r="H396">
        <v>35</v>
      </c>
      <c r="I396">
        <v>48939.73</v>
      </c>
      <c r="J396">
        <v>6976.38</v>
      </c>
      <c r="K396">
        <v>1</v>
      </c>
      <c r="L396">
        <v>2024</v>
      </c>
    </row>
    <row r="397" spans="1:12" x14ac:dyDescent="0.25">
      <c r="A397" s="1" t="s">
        <v>432</v>
      </c>
      <c r="B397" s="1" t="s">
        <v>18</v>
      </c>
      <c r="C397">
        <v>28</v>
      </c>
      <c r="D397" s="1" t="s">
        <v>422</v>
      </c>
      <c r="E397">
        <v>29843.61</v>
      </c>
      <c r="F397">
        <v>19663.23</v>
      </c>
      <c r="G397">
        <v>18</v>
      </c>
      <c r="H397">
        <v>29</v>
      </c>
      <c r="I397">
        <v>1768.44</v>
      </c>
      <c r="J397">
        <v>513.49</v>
      </c>
      <c r="K397">
        <v>0</v>
      </c>
      <c r="L397">
        <v>2024</v>
      </c>
    </row>
    <row r="398" spans="1:12" x14ac:dyDescent="0.25">
      <c r="A398" s="1" t="s">
        <v>433</v>
      </c>
      <c r="B398" s="1" t="s">
        <v>17</v>
      </c>
      <c r="C398">
        <v>3</v>
      </c>
      <c r="D398" s="1" t="s">
        <v>422</v>
      </c>
      <c r="E398">
        <v>4000</v>
      </c>
      <c r="F398">
        <v>2500</v>
      </c>
      <c r="G398">
        <v>60</v>
      </c>
      <c r="H398">
        <v>38</v>
      </c>
      <c r="I398">
        <v>63952.5</v>
      </c>
      <c r="J398">
        <v>11029.27</v>
      </c>
      <c r="K398">
        <v>0</v>
      </c>
      <c r="L398">
        <v>2024</v>
      </c>
    </row>
    <row r="399" spans="1:12" x14ac:dyDescent="0.25">
      <c r="A399" s="1" t="s">
        <v>434</v>
      </c>
      <c r="B399" s="1" t="s">
        <v>12</v>
      </c>
      <c r="C399">
        <v>81</v>
      </c>
      <c r="D399" s="1" t="s">
        <v>422</v>
      </c>
      <c r="E399">
        <v>63040.84</v>
      </c>
      <c r="F399">
        <v>54138.38</v>
      </c>
      <c r="G399">
        <v>10</v>
      </c>
      <c r="H399">
        <v>40</v>
      </c>
      <c r="I399">
        <v>19967.3</v>
      </c>
      <c r="J399">
        <v>0</v>
      </c>
      <c r="K399">
        <v>0</v>
      </c>
      <c r="L399">
        <v>2024</v>
      </c>
    </row>
    <row r="400" spans="1:12" x14ac:dyDescent="0.25">
      <c r="A400" s="1" t="s">
        <v>435</v>
      </c>
      <c r="B400" s="1" t="s">
        <v>16</v>
      </c>
      <c r="C400">
        <v>9</v>
      </c>
      <c r="D400" s="1" t="s">
        <v>422</v>
      </c>
      <c r="E400">
        <v>15354.89</v>
      </c>
      <c r="F400">
        <v>10065.67</v>
      </c>
      <c r="G400">
        <v>38</v>
      </c>
      <c r="H400">
        <v>20</v>
      </c>
      <c r="I400">
        <v>40562.959999999999</v>
      </c>
      <c r="J400">
        <v>0</v>
      </c>
      <c r="K400">
        <v>1</v>
      </c>
      <c r="L400">
        <v>2024</v>
      </c>
    </row>
    <row r="401" spans="1:12" x14ac:dyDescent="0.25">
      <c r="A401" s="1" t="s">
        <v>436</v>
      </c>
      <c r="B401" s="1" t="s">
        <v>16</v>
      </c>
      <c r="C401">
        <v>43</v>
      </c>
      <c r="D401" s="1" t="s">
        <v>422</v>
      </c>
      <c r="E401">
        <v>27670.22</v>
      </c>
      <c r="F401">
        <v>16059.77</v>
      </c>
      <c r="G401">
        <v>11</v>
      </c>
      <c r="H401">
        <v>54</v>
      </c>
      <c r="I401">
        <v>29969.919999999998</v>
      </c>
      <c r="J401">
        <v>7201.83</v>
      </c>
      <c r="K401">
        <v>0</v>
      </c>
      <c r="L401">
        <v>2024</v>
      </c>
    </row>
    <row r="402" spans="1:12" x14ac:dyDescent="0.25">
      <c r="A402" s="1" t="s">
        <v>437</v>
      </c>
      <c r="B402" s="1" t="s">
        <v>12</v>
      </c>
      <c r="C402">
        <v>11</v>
      </c>
      <c r="D402" s="1" t="s">
        <v>422</v>
      </c>
      <c r="E402">
        <v>13268.91</v>
      </c>
      <c r="F402">
        <v>9514.0499999999993</v>
      </c>
      <c r="G402">
        <v>52</v>
      </c>
      <c r="H402">
        <v>42</v>
      </c>
      <c r="I402">
        <v>11268.04</v>
      </c>
      <c r="J402">
        <v>0</v>
      </c>
      <c r="K402">
        <v>1</v>
      </c>
      <c r="L402">
        <v>2024</v>
      </c>
    </row>
    <row r="403" spans="1:12" x14ac:dyDescent="0.25">
      <c r="A403" s="1" t="s">
        <v>438</v>
      </c>
      <c r="B403" s="1" t="s">
        <v>17</v>
      </c>
      <c r="C403">
        <v>78</v>
      </c>
      <c r="D403" s="1" t="s">
        <v>422</v>
      </c>
      <c r="E403">
        <v>79508.490000000005</v>
      </c>
      <c r="F403">
        <v>54305.53</v>
      </c>
      <c r="G403">
        <v>67</v>
      </c>
      <c r="H403">
        <v>20</v>
      </c>
      <c r="I403">
        <v>25844.55</v>
      </c>
      <c r="J403">
        <v>5561.21</v>
      </c>
      <c r="K403">
        <v>0</v>
      </c>
      <c r="L403">
        <v>2024</v>
      </c>
    </row>
    <row r="404" spans="1:12" x14ac:dyDescent="0.25">
      <c r="A404" s="1" t="s">
        <v>439</v>
      </c>
      <c r="B404" s="1" t="s">
        <v>17</v>
      </c>
      <c r="C404">
        <v>82</v>
      </c>
      <c r="D404" s="1" t="s">
        <v>422</v>
      </c>
      <c r="E404">
        <v>81082.69</v>
      </c>
      <c r="F404">
        <v>76245.11</v>
      </c>
      <c r="G404">
        <v>64</v>
      </c>
      <c r="H404">
        <v>54</v>
      </c>
      <c r="I404">
        <v>90961.76</v>
      </c>
      <c r="J404">
        <v>5666.47</v>
      </c>
      <c r="K404">
        <v>0</v>
      </c>
      <c r="L404">
        <v>2024</v>
      </c>
    </row>
    <row r="405" spans="1:12" x14ac:dyDescent="0.25">
      <c r="A405" s="1" t="s">
        <v>440</v>
      </c>
      <c r="B405" s="1" t="s">
        <v>18</v>
      </c>
      <c r="C405">
        <v>84</v>
      </c>
      <c r="D405" s="1" t="s">
        <v>422</v>
      </c>
      <c r="E405">
        <v>74072.37</v>
      </c>
      <c r="F405">
        <v>44378.95</v>
      </c>
      <c r="G405">
        <v>14</v>
      </c>
      <c r="H405">
        <v>44</v>
      </c>
      <c r="I405">
        <v>7503.37</v>
      </c>
      <c r="J405">
        <v>4607.99</v>
      </c>
      <c r="K405">
        <v>0</v>
      </c>
      <c r="L405">
        <v>2024</v>
      </c>
    </row>
    <row r="406" spans="1:12" x14ac:dyDescent="0.25">
      <c r="A406" s="1" t="s">
        <v>441</v>
      </c>
      <c r="B406" s="1" t="s">
        <v>16</v>
      </c>
      <c r="C406">
        <v>106</v>
      </c>
      <c r="D406" s="1" t="s">
        <v>422</v>
      </c>
      <c r="E406">
        <v>78384.899999999994</v>
      </c>
      <c r="F406">
        <v>62847.72</v>
      </c>
      <c r="G406">
        <v>27</v>
      </c>
      <c r="H406">
        <v>41</v>
      </c>
      <c r="I406">
        <v>32401.41</v>
      </c>
      <c r="J406">
        <v>0</v>
      </c>
      <c r="K406">
        <v>0</v>
      </c>
      <c r="L406">
        <v>2024</v>
      </c>
    </row>
    <row r="407" spans="1:12" x14ac:dyDescent="0.25">
      <c r="A407" s="1" t="s">
        <v>442</v>
      </c>
      <c r="B407" s="1" t="s">
        <v>14</v>
      </c>
      <c r="C407">
        <v>76</v>
      </c>
      <c r="D407" s="1" t="s">
        <v>422</v>
      </c>
      <c r="E407">
        <v>48532.75</v>
      </c>
      <c r="F407">
        <v>46428.41</v>
      </c>
      <c r="G407">
        <v>57</v>
      </c>
      <c r="H407">
        <v>28</v>
      </c>
      <c r="I407">
        <v>41622.230000000003</v>
      </c>
      <c r="J407">
        <v>0</v>
      </c>
      <c r="K407">
        <v>0</v>
      </c>
      <c r="L407">
        <v>2024</v>
      </c>
    </row>
    <row r="408" spans="1:12" x14ac:dyDescent="0.25">
      <c r="A408" s="1" t="s">
        <v>443</v>
      </c>
      <c r="B408" s="1" t="s">
        <v>16</v>
      </c>
      <c r="C408">
        <v>115</v>
      </c>
      <c r="D408" s="1" t="s">
        <v>422</v>
      </c>
      <c r="E408">
        <v>97148.07</v>
      </c>
      <c r="F408">
        <v>64233.29</v>
      </c>
      <c r="G408">
        <v>81</v>
      </c>
      <c r="H408">
        <v>65</v>
      </c>
      <c r="I408">
        <v>1414.57</v>
      </c>
      <c r="J408">
        <v>2877.49</v>
      </c>
      <c r="K408">
        <v>1</v>
      </c>
      <c r="L408">
        <v>2024</v>
      </c>
    </row>
    <row r="409" spans="1:12" x14ac:dyDescent="0.25">
      <c r="A409" s="1" t="s">
        <v>444</v>
      </c>
      <c r="B409" s="1" t="s">
        <v>18</v>
      </c>
      <c r="C409">
        <v>81</v>
      </c>
      <c r="D409" s="1" t="s">
        <v>422</v>
      </c>
      <c r="E409">
        <v>78039.490000000005</v>
      </c>
      <c r="F409">
        <v>49076.65</v>
      </c>
      <c r="G409">
        <v>27</v>
      </c>
      <c r="H409">
        <v>23</v>
      </c>
      <c r="I409">
        <v>101175.31</v>
      </c>
      <c r="J409">
        <v>3003.82</v>
      </c>
      <c r="K409">
        <v>0</v>
      </c>
      <c r="L409">
        <v>2024</v>
      </c>
    </row>
    <row r="410" spans="1:12" x14ac:dyDescent="0.25">
      <c r="A410" s="1" t="s">
        <v>445</v>
      </c>
      <c r="B410" s="1" t="s">
        <v>14</v>
      </c>
      <c r="C410">
        <v>32</v>
      </c>
      <c r="D410" s="1" t="s">
        <v>422</v>
      </c>
      <c r="E410">
        <v>32807.82</v>
      </c>
      <c r="F410">
        <v>33849.96</v>
      </c>
      <c r="G410">
        <v>50</v>
      </c>
      <c r="H410">
        <v>41</v>
      </c>
      <c r="I410">
        <v>30238.38</v>
      </c>
      <c r="J410">
        <v>7433.92</v>
      </c>
      <c r="K410">
        <v>0</v>
      </c>
      <c r="L410">
        <v>2024</v>
      </c>
    </row>
    <row r="411" spans="1:12" x14ac:dyDescent="0.25">
      <c r="A411" s="1" t="s">
        <v>446</v>
      </c>
      <c r="B411" s="1" t="s">
        <v>18</v>
      </c>
      <c r="C411">
        <v>96</v>
      </c>
      <c r="D411" s="1" t="s">
        <v>422</v>
      </c>
      <c r="E411">
        <v>73605.820000000007</v>
      </c>
      <c r="F411">
        <v>56195.05</v>
      </c>
      <c r="G411">
        <v>30</v>
      </c>
      <c r="H411">
        <v>50</v>
      </c>
      <c r="I411">
        <v>19255.39</v>
      </c>
      <c r="J411">
        <v>5445.08</v>
      </c>
      <c r="K411">
        <v>0</v>
      </c>
      <c r="L411">
        <v>2024</v>
      </c>
    </row>
    <row r="412" spans="1:12" x14ac:dyDescent="0.25">
      <c r="A412" s="1" t="s">
        <v>447</v>
      </c>
      <c r="B412" s="1" t="s">
        <v>16</v>
      </c>
      <c r="C412">
        <v>87</v>
      </c>
      <c r="D412" s="1" t="s">
        <v>422</v>
      </c>
      <c r="E412">
        <v>83377.11</v>
      </c>
      <c r="F412">
        <v>68462.09</v>
      </c>
      <c r="G412">
        <v>15</v>
      </c>
      <c r="H412">
        <v>51</v>
      </c>
      <c r="I412">
        <v>61128.1</v>
      </c>
      <c r="J412">
        <v>6547.09</v>
      </c>
      <c r="K412">
        <v>0</v>
      </c>
      <c r="L412">
        <v>2024</v>
      </c>
    </row>
    <row r="413" spans="1:12" x14ac:dyDescent="0.25">
      <c r="A413" s="1" t="s">
        <v>448</v>
      </c>
      <c r="B413" s="1" t="s">
        <v>14</v>
      </c>
      <c r="C413">
        <v>88</v>
      </c>
      <c r="D413" s="1" t="s">
        <v>422</v>
      </c>
      <c r="E413">
        <v>71618.61</v>
      </c>
      <c r="F413">
        <v>63112.73</v>
      </c>
      <c r="G413">
        <v>62</v>
      </c>
      <c r="H413">
        <v>7</v>
      </c>
      <c r="I413">
        <v>0</v>
      </c>
      <c r="J413">
        <v>11086.09</v>
      </c>
      <c r="K413">
        <v>0</v>
      </c>
      <c r="L413">
        <v>2024</v>
      </c>
    </row>
    <row r="414" spans="1:12" x14ac:dyDescent="0.25">
      <c r="A414" s="1" t="s">
        <v>449</v>
      </c>
      <c r="B414" s="1" t="s">
        <v>15</v>
      </c>
      <c r="C414">
        <v>47</v>
      </c>
      <c r="D414" s="1" t="s">
        <v>422</v>
      </c>
      <c r="E414">
        <v>40747.65</v>
      </c>
      <c r="F414">
        <v>43499.839999999997</v>
      </c>
      <c r="G414">
        <v>43</v>
      </c>
      <c r="H414">
        <v>10</v>
      </c>
      <c r="I414">
        <v>60819.38</v>
      </c>
      <c r="J414">
        <v>6419.25</v>
      </c>
      <c r="K414">
        <v>0</v>
      </c>
      <c r="L414">
        <v>2024</v>
      </c>
    </row>
    <row r="415" spans="1:12" x14ac:dyDescent="0.25">
      <c r="A415" s="1" t="s">
        <v>450</v>
      </c>
      <c r="B415" s="1" t="s">
        <v>15</v>
      </c>
      <c r="C415">
        <v>14</v>
      </c>
      <c r="D415" s="1" t="s">
        <v>422</v>
      </c>
      <c r="E415">
        <v>17767.099999999999</v>
      </c>
      <c r="F415">
        <v>11321.68</v>
      </c>
      <c r="G415">
        <v>63</v>
      </c>
      <c r="H415">
        <v>36</v>
      </c>
      <c r="I415">
        <v>19081.21</v>
      </c>
      <c r="J415">
        <v>4573.75</v>
      </c>
      <c r="K415">
        <v>0</v>
      </c>
      <c r="L415">
        <v>2024</v>
      </c>
    </row>
    <row r="416" spans="1:12" x14ac:dyDescent="0.25">
      <c r="A416" s="1" t="s">
        <v>451</v>
      </c>
      <c r="B416" s="1" t="s">
        <v>18</v>
      </c>
      <c r="C416">
        <v>48</v>
      </c>
      <c r="D416" s="1" t="s">
        <v>422</v>
      </c>
      <c r="E416">
        <v>47985.48</v>
      </c>
      <c r="F416">
        <v>29867.759999999998</v>
      </c>
      <c r="G416">
        <v>54</v>
      </c>
      <c r="H416">
        <v>73</v>
      </c>
      <c r="I416">
        <v>34007.31</v>
      </c>
      <c r="J416">
        <v>5162.83</v>
      </c>
      <c r="K416">
        <v>0</v>
      </c>
      <c r="L416">
        <v>2024</v>
      </c>
    </row>
    <row r="417" spans="1:12" x14ac:dyDescent="0.25">
      <c r="A417" s="1" t="s">
        <v>452</v>
      </c>
      <c r="B417" s="1" t="s">
        <v>16</v>
      </c>
      <c r="C417">
        <v>48</v>
      </c>
      <c r="D417" s="1" t="s">
        <v>422</v>
      </c>
      <c r="E417">
        <v>49258.86</v>
      </c>
      <c r="F417">
        <v>48103.66</v>
      </c>
      <c r="G417">
        <v>18</v>
      </c>
      <c r="H417">
        <v>41</v>
      </c>
      <c r="I417">
        <v>45037.7</v>
      </c>
      <c r="J417">
        <v>9900.67</v>
      </c>
      <c r="K417">
        <v>0</v>
      </c>
      <c r="L417">
        <v>2024</v>
      </c>
    </row>
    <row r="418" spans="1:12" x14ac:dyDescent="0.25">
      <c r="A418" s="1" t="s">
        <v>453</v>
      </c>
      <c r="B418" s="1" t="s">
        <v>17</v>
      </c>
      <c r="C418">
        <v>49</v>
      </c>
      <c r="D418" s="1" t="s">
        <v>422</v>
      </c>
      <c r="E418">
        <v>44713.63</v>
      </c>
      <c r="F418">
        <v>32465.86</v>
      </c>
      <c r="G418">
        <v>20</v>
      </c>
      <c r="H418">
        <v>2</v>
      </c>
      <c r="I418">
        <v>46859.040000000001</v>
      </c>
      <c r="J418">
        <v>1292.0899999999999</v>
      </c>
      <c r="K418">
        <v>0</v>
      </c>
      <c r="L418">
        <v>2024</v>
      </c>
    </row>
    <row r="419" spans="1:12" x14ac:dyDescent="0.25">
      <c r="A419" s="1" t="s">
        <v>454</v>
      </c>
      <c r="B419" s="1" t="s">
        <v>15</v>
      </c>
      <c r="C419">
        <v>60</v>
      </c>
      <c r="D419" s="1" t="s">
        <v>422</v>
      </c>
      <c r="E419">
        <v>63971.91</v>
      </c>
      <c r="F419">
        <v>45038.5</v>
      </c>
      <c r="G419">
        <v>59</v>
      </c>
      <c r="H419">
        <v>27</v>
      </c>
      <c r="I419">
        <v>14348.29</v>
      </c>
      <c r="J419">
        <v>0</v>
      </c>
      <c r="K419">
        <v>1</v>
      </c>
      <c r="L419">
        <v>2024</v>
      </c>
    </row>
    <row r="420" spans="1:12" x14ac:dyDescent="0.25">
      <c r="A420" s="1" t="s">
        <v>455</v>
      </c>
      <c r="B420" s="1" t="s">
        <v>17</v>
      </c>
      <c r="C420">
        <v>21</v>
      </c>
      <c r="D420" s="1" t="s">
        <v>422</v>
      </c>
      <c r="E420">
        <v>12729.33</v>
      </c>
      <c r="F420">
        <v>11076.56</v>
      </c>
      <c r="G420">
        <v>50</v>
      </c>
      <c r="H420">
        <v>29</v>
      </c>
      <c r="I420">
        <v>17133.5</v>
      </c>
      <c r="J420">
        <v>6832.21</v>
      </c>
      <c r="K420">
        <v>0</v>
      </c>
      <c r="L420">
        <v>2024</v>
      </c>
    </row>
    <row r="421" spans="1:12" x14ac:dyDescent="0.25">
      <c r="A421" s="1" t="s">
        <v>456</v>
      </c>
      <c r="B421" s="1" t="s">
        <v>15</v>
      </c>
      <c r="C421">
        <v>95</v>
      </c>
      <c r="D421" s="1" t="s">
        <v>422</v>
      </c>
      <c r="E421">
        <v>80113.75</v>
      </c>
      <c r="F421">
        <v>66323.92</v>
      </c>
      <c r="G421">
        <v>19</v>
      </c>
      <c r="H421">
        <v>14</v>
      </c>
      <c r="I421">
        <v>70713.210000000006</v>
      </c>
      <c r="J421">
        <v>0</v>
      </c>
      <c r="K421">
        <v>1</v>
      </c>
      <c r="L421">
        <v>2024</v>
      </c>
    </row>
    <row r="422" spans="1:12" x14ac:dyDescent="0.25">
      <c r="A422" s="1" t="s">
        <v>457</v>
      </c>
      <c r="B422" s="1" t="s">
        <v>14</v>
      </c>
      <c r="C422">
        <v>15</v>
      </c>
      <c r="D422" s="1" t="s">
        <v>422</v>
      </c>
      <c r="E422">
        <v>18790.34</v>
      </c>
      <c r="F422">
        <v>13459.34</v>
      </c>
      <c r="G422">
        <v>51</v>
      </c>
      <c r="H422">
        <v>53</v>
      </c>
      <c r="I422">
        <v>58223.68</v>
      </c>
      <c r="J422">
        <v>2936.88</v>
      </c>
      <c r="K422">
        <v>1</v>
      </c>
      <c r="L422">
        <v>2024</v>
      </c>
    </row>
    <row r="423" spans="1:12" x14ac:dyDescent="0.25">
      <c r="A423" s="1" t="s">
        <v>458</v>
      </c>
      <c r="B423" s="1" t="s">
        <v>18</v>
      </c>
      <c r="C423">
        <v>118</v>
      </c>
      <c r="D423" s="1" t="s">
        <v>422</v>
      </c>
      <c r="E423">
        <v>86223.34</v>
      </c>
      <c r="F423">
        <v>62967.87</v>
      </c>
      <c r="G423">
        <v>41</v>
      </c>
      <c r="H423">
        <v>57</v>
      </c>
      <c r="I423">
        <v>19867.14</v>
      </c>
      <c r="J423">
        <v>0</v>
      </c>
      <c r="K423">
        <v>1</v>
      </c>
      <c r="L423">
        <v>2024</v>
      </c>
    </row>
    <row r="424" spans="1:12" x14ac:dyDescent="0.25">
      <c r="A424" s="1" t="s">
        <v>459</v>
      </c>
      <c r="B424" s="1" t="s">
        <v>14</v>
      </c>
      <c r="C424">
        <v>31</v>
      </c>
      <c r="D424" s="1" t="s">
        <v>422</v>
      </c>
      <c r="E424">
        <v>10450.66</v>
      </c>
      <c r="F424">
        <v>9718.43</v>
      </c>
      <c r="G424">
        <v>58</v>
      </c>
      <c r="H424">
        <v>29</v>
      </c>
      <c r="I424">
        <v>8245.2099999999991</v>
      </c>
      <c r="J424">
        <v>2245.6799999999998</v>
      </c>
      <c r="K424">
        <v>0</v>
      </c>
      <c r="L424">
        <v>2024</v>
      </c>
    </row>
    <row r="425" spans="1:12" x14ac:dyDescent="0.25">
      <c r="A425" s="1" t="s">
        <v>460</v>
      </c>
      <c r="B425" s="1" t="s">
        <v>18</v>
      </c>
      <c r="C425">
        <v>41</v>
      </c>
      <c r="D425" s="1" t="s">
        <v>422</v>
      </c>
      <c r="E425">
        <v>48287.199999999997</v>
      </c>
      <c r="F425">
        <v>50534.55</v>
      </c>
      <c r="G425">
        <v>16</v>
      </c>
      <c r="H425">
        <v>16</v>
      </c>
      <c r="I425">
        <v>55569.02</v>
      </c>
      <c r="J425">
        <v>4352.62</v>
      </c>
      <c r="K425">
        <v>0</v>
      </c>
      <c r="L425">
        <v>2024</v>
      </c>
    </row>
    <row r="426" spans="1:12" x14ac:dyDescent="0.25">
      <c r="A426" s="1" t="s">
        <v>461</v>
      </c>
      <c r="B426" s="1" t="s">
        <v>16</v>
      </c>
      <c r="C426">
        <v>72</v>
      </c>
      <c r="D426" s="1" t="s">
        <v>422</v>
      </c>
      <c r="E426">
        <v>58659.38</v>
      </c>
      <c r="F426">
        <v>59477.04</v>
      </c>
      <c r="G426">
        <v>45</v>
      </c>
      <c r="H426">
        <v>27</v>
      </c>
      <c r="I426">
        <v>33168.85</v>
      </c>
      <c r="J426">
        <v>2251.08</v>
      </c>
      <c r="K426">
        <v>0</v>
      </c>
      <c r="L426">
        <v>2024</v>
      </c>
    </row>
    <row r="427" spans="1:12" x14ac:dyDescent="0.25">
      <c r="A427" s="1" t="s">
        <v>462</v>
      </c>
      <c r="B427" s="1" t="s">
        <v>17</v>
      </c>
      <c r="C427">
        <v>43</v>
      </c>
      <c r="D427" s="1" t="s">
        <v>422</v>
      </c>
      <c r="E427">
        <v>33090.36</v>
      </c>
      <c r="F427">
        <v>20882.240000000002</v>
      </c>
      <c r="G427">
        <v>11</v>
      </c>
      <c r="H427">
        <v>25</v>
      </c>
      <c r="I427">
        <v>0</v>
      </c>
      <c r="J427">
        <v>2227.63</v>
      </c>
      <c r="K427">
        <v>0</v>
      </c>
      <c r="L427">
        <v>2024</v>
      </c>
    </row>
    <row r="428" spans="1:12" x14ac:dyDescent="0.25">
      <c r="A428" s="1" t="s">
        <v>463</v>
      </c>
      <c r="B428" s="1" t="s">
        <v>14</v>
      </c>
      <c r="C428">
        <v>27</v>
      </c>
      <c r="D428" s="1" t="s">
        <v>422</v>
      </c>
      <c r="E428">
        <v>25133.34</v>
      </c>
      <c r="F428">
        <v>26455.05</v>
      </c>
      <c r="G428">
        <v>23</v>
      </c>
      <c r="H428">
        <v>19</v>
      </c>
      <c r="I428">
        <v>39075.85</v>
      </c>
      <c r="J428">
        <v>8781.7900000000009</v>
      </c>
      <c r="K428">
        <v>1</v>
      </c>
      <c r="L428">
        <v>2024</v>
      </c>
    </row>
    <row r="429" spans="1:12" x14ac:dyDescent="0.25">
      <c r="A429" s="1" t="s">
        <v>464</v>
      </c>
      <c r="B429" s="1" t="s">
        <v>18</v>
      </c>
      <c r="C429">
        <v>66</v>
      </c>
      <c r="D429" s="1" t="s">
        <v>422</v>
      </c>
      <c r="E429">
        <v>60683.1</v>
      </c>
      <c r="F429">
        <v>51221.13</v>
      </c>
      <c r="G429">
        <v>52</v>
      </c>
      <c r="H429">
        <v>24</v>
      </c>
      <c r="I429">
        <v>67377.14</v>
      </c>
      <c r="J429">
        <v>0</v>
      </c>
      <c r="K429">
        <v>0</v>
      </c>
      <c r="L429">
        <v>2024</v>
      </c>
    </row>
    <row r="430" spans="1:12" x14ac:dyDescent="0.25">
      <c r="A430" s="1" t="s">
        <v>465</v>
      </c>
      <c r="B430" s="1" t="s">
        <v>14</v>
      </c>
      <c r="C430">
        <v>112</v>
      </c>
      <c r="D430" s="1" t="s">
        <v>422</v>
      </c>
      <c r="E430">
        <v>75785.72</v>
      </c>
      <c r="F430">
        <v>51042.68</v>
      </c>
      <c r="G430">
        <v>43</v>
      </c>
      <c r="H430">
        <v>21</v>
      </c>
      <c r="I430">
        <v>10138</v>
      </c>
      <c r="J430">
        <v>7090.11</v>
      </c>
      <c r="K430">
        <v>0</v>
      </c>
      <c r="L430">
        <v>2024</v>
      </c>
    </row>
    <row r="431" spans="1:12" x14ac:dyDescent="0.25">
      <c r="A431" s="1" t="s">
        <v>466</v>
      </c>
      <c r="B431" s="1" t="s">
        <v>17</v>
      </c>
      <c r="C431">
        <v>94</v>
      </c>
      <c r="D431" s="1" t="s">
        <v>422</v>
      </c>
      <c r="E431">
        <v>87019.66</v>
      </c>
      <c r="F431">
        <v>83295.47</v>
      </c>
      <c r="G431">
        <v>35</v>
      </c>
      <c r="H431">
        <v>68</v>
      </c>
      <c r="I431">
        <v>33196.35</v>
      </c>
      <c r="J431">
        <v>803.07</v>
      </c>
      <c r="K431">
        <v>1</v>
      </c>
      <c r="L431">
        <v>2024</v>
      </c>
    </row>
    <row r="432" spans="1:12" x14ac:dyDescent="0.25">
      <c r="A432" s="1" t="s">
        <v>467</v>
      </c>
      <c r="B432" s="1" t="s">
        <v>18</v>
      </c>
      <c r="C432">
        <v>50</v>
      </c>
      <c r="D432" s="1" t="s">
        <v>422</v>
      </c>
      <c r="E432">
        <v>51738.31</v>
      </c>
      <c r="F432">
        <v>31605.22</v>
      </c>
      <c r="G432">
        <v>50</v>
      </c>
      <c r="H432">
        <v>30</v>
      </c>
      <c r="I432">
        <v>48403.59</v>
      </c>
      <c r="J432">
        <v>9939.61</v>
      </c>
      <c r="K432">
        <v>0</v>
      </c>
      <c r="L432">
        <v>2024</v>
      </c>
    </row>
    <row r="433" spans="1:12" x14ac:dyDescent="0.25">
      <c r="A433" s="1" t="s">
        <v>468</v>
      </c>
      <c r="B433" s="1" t="s">
        <v>18</v>
      </c>
      <c r="C433">
        <v>111</v>
      </c>
      <c r="D433" s="1" t="s">
        <v>422</v>
      </c>
      <c r="E433">
        <v>97446.64</v>
      </c>
      <c r="F433">
        <v>70109.47</v>
      </c>
      <c r="G433">
        <v>10</v>
      </c>
      <c r="H433">
        <v>21</v>
      </c>
      <c r="I433">
        <v>38005.629999999997</v>
      </c>
      <c r="J433">
        <v>8838.19</v>
      </c>
      <c r="K433">
        <v>0</v>
      </c>
      <c r="L433">
        <v>2024</v>
      </c>
    </row>
    <row r="434" spans="1:12" x14ac:dyDescent="0.25">
      <c r="A434" s="1" t="s">
        <v>469</v>
      </c>
      <c r="B434" s="1" t="s">
        <v>14</v>
      </c>
      <c r="C434">
        <v>31</v>
      </c>
      <c r="D434" s="1" t="s">
        <v>422</v>
      </c>
      <c r="E434">
        <v>52352.98</v>
      </c>
      <c r="F434">
        <v>38269.46</v>
      </c>
      <c r="G434">
        <v>25</v>
      </c>
      <c r="H434">
        <v>16</v>
      </c>
      <c r="I434">
        <v>24477.19</v>
      </c>
      <c r="J434">
        <v>6550.9</v>
      </c>
      <c r="K434">
        <v>0</v>
      </c>
      <c r="L434">
        <v>2024</v>
      </c>
    </row>
    <row r="435" spans="1:12" x14ac:dyDescent="0.25">
      <c r="A435" s="1" t="s">
        <v>470</v>
      </c>
      <c r="B435" s="1" t="s">
        <v>14</v>
      </c>
      <c r="C435">
        <v>25</v>
      </c>
      <c r="D435" s="1" t="s">
        <v>422</v>
      </c>
      <c r="E435">
        <v>17633.04</v>
      </c>
      <c r="F435">
        <v>12977.56</v>
      </c>
      <c r="G435">
        <v>15</v>
      </c>
      <c r="H435">
        <v>22</v>
      </c>
      <c r="I435">
        <v>42513.64</v>
      </c>
      <c r="J435">
        <v>6993.18</v>
      </c>
      <c r="K435">
        <v>0</v>
      </c>
      <c r="L435">
        <v>2024</v>
      </c>
    </row>
    <row r="436" spans="1:12" x14ac:dyDescent="0.25">
      <c r="A436" s="1" t="s">
        <v>471</v>
      </c>
      <c r="B436" s="1" t="s">
        <v>16</v>
      </c>
      <c r="C436">
        <v>79</v>
      </c>
      <c r="D436" s="1" t="s">
        <v>422</v>
      </c>
      <c r="E436">
        <v>74975.11</v>
      </c>
      <c r="F436">
        <v>73603.350000000006</v>
      </c>
      <c r="G436">
        <v>27</v>
      </c>
      <c r="H436">
        <v>21</v>
      </c>
      <c r="I436">
        <v>48074.71</v>
      </c>
      <c r="J436">
        <v>3114.65</v>
      </c>
      <c r="K436">
        <v>0</v>
      </c>
      <c r="L436">
        <v>2024</v>
      </c>
    </row>
    <row r="437" spans="1:12" x14ac:dyDescent="0.25">
      <c r="A437" s="1" t="s">
        <v>472</v>
      </c>
      <c r="B437" s="1" t="s">
        <v>16</v>
      </c>
      <c r="C437">
        <v>79</v>
      </c>
      <c r="D437" s="1" t="s">
        <v>422</v>
      </c>
      <c r="E437">
        <v>82309.52</v>
      </c>
      <c r="F437">
        <v>63784.73</v>
      </c>
      <c r="G437">
        <v>20</v>
      </c>
      <c r="H437">
        <v>28</v>
      </c>
      <c r="I437">
        <v>26733.51</v>
      </c>
      <c r="J437">
        <v>6566.58</v>
      </c>
      <c r="K437">
        <v>0</v>
      </c>
      <c r="L437">
        <v>2024</v>
      </c>
    </row>
    <row r="438" spans="1:12" x14ac:dyDescent="0.25">
      <c r="A438" s="1" t="s">
        <v>473</v>
      </c>
      <c r="B438" s="1" t="s">
        <v>12</v>
      </c>
      <c r="C438">
        <v>92</v>
      </c>
      <c r="D438" s="1" t="s">
        <v>422</v>
      </c>
      <c r="E438">
        <v>73779.25</v>
      </c>
      <c r="F438">
        <v>75357.320000000007</v>
      </c>
      <c r="G438">
        <v>17</v>
      </c>
      <c r="H438">
        <v>51</v>
      </c>
      <c r="I438">
        <v>11061.49</v>
      </c>
      <c r="J438">
        <v>9788.93</v>
      </c>
      <c r="K438">
        <v>0</v>
      </c>
      <c r="L438">
        <v>2024</v>
      </c>
    </row>
    <row r="439" spans="1:12" x14ac:dyDescent="0.25">
      <c r="A439" s="1" t="s">
        <v>474</v>
      </c>
      <c r="B439" s="1" t="s">
        <v>18</v>
      </c>
      <c r="C439">
        <v>50</v>
      </c>
      <c r="D439" s="1" t="s">
        <v>422</v>
      </c>
      <c r="E439">
        <v>50095.3</v>
      </c>
      <c r="F439">
        <v>40527.71</v>
      </c>
      <c r="G439">
        <v>70</v>
      </c>
      <c r="H439">
        <v>54</v>
      </c>
      <c r="I439">
        <v>17083.8</v>
      </c>
      <c r="J439">
        <v>1384.38</v>
      </c>
      <c r="K439">
        <v>1</v>
      </c>
      <c r="L439">
        <v>2024</v>
      </c>
    </row>
    <row r="440" spans="1:12" x14ac:dyDescent="0.25">
      <c r="A440" s="1" t="s">
        <v>475</v>
      </c>
      <c r="B440" s="1" t="s">
        <v>12</v>
      </c>
      <c r="C440">
        <v>109</v>
      </c>
      <c r="D440" s="1" t="s">
        <v>422</v>
      </c>
      <c r="E440">
        <v>92694.35</v>
      </c>
      <c r="F440">
        <v>58257.31</v>
      </c>
      <c r="G440">
        <v>40</v>
      </c>
      <c r="H440">
        <v>18</v>
      </c>
      <c r="I440">
        <v>13866.75</v>
      </c>
      <c r="J440">
        <v>0</v>
      </c>
      <c r="K440">
        <v>0</v>
      </c>
      <c r="L440">
        <v>2024</v>
      </c>
    </row>
    <row r="441" spans="1:12" x14ac:dyDescent="0.25">
      <c r="A441" s="1" t="s">
        <v>476</v>
      </c>
      <c r="B441" s="1" t="s">
        <v>16</v>
      </c>
      <c r="C441">
        <v>76</v>
      </c>
      <c r="D441" s="1" t="s">
        <v>422</v>
      </c>
      <c r="E441">
        <v>66499.600000000006</v>
      </c>
      <c r="F441">
        <v>60849.7</v>
      </c>
      <c r="G441">
        <v>46</v>
      </c>
      <c r="H441">
        <v>38</v>
      </c>
      <c r="I441">
        <v>31194.11</v>
      </c>
      <c r="J441">
        <v>5435.06</v>
      </c>
      <c r="K441">
        <v>0</v>
      </c>
      <c r="L441">
        <v>2024</v>
      </c>
    </row>
    <row r="442" spans="1:12" x14ac:dyDescent="0.25">
      <c r="A442" s="1" t="s">
        <v>477</v>
      </c>
      <c r="B442" s="1" t="s">
        <v>18</v>
      </c>
      <c r="C442">
        <v>95</v>
      </c>
      <c r="D442" s="1" t="s">
        <v>422</v>
      </c>
      <c r="E442">
        <v>81215.44</v>
      </c>
      <c r="F442">
        <v>59506.06</v>
      </c>
      <c r="G442">
        <v>36</v>
      </c>
      <c r="H442">
        <v>19</v>
      </c>
      <c r="I442">
        <v>22557.3</v>
      </c>
      <c r="J442">
        <v>5362.11</v>
      </c>
      <c r="K442">
        <v>0</v>
      </c>
      <c r="L442">
        <v>2024</v>
      </c>
    </row>
    <row r="443" spans="1:12" x14ac:dyDescent="0.25">
      <c r="A443" s="1" t="s">
        <v>478</v>
      </c>
      <c r="B443" s="1" t="s">
        <v>16</v>
      </c>
      <c r="C443">
        <v>7</v>
      </c>
      <c r="D443" s="1" t="s">
        <v>422</v>
      </c>
      <c r="E443">
        <v>4000</v>
      </c>
      <c r="F443">
        <v>4194.3900000000003</v>
      </c>
      <c r="G443">
        <v>58</v>
      </c>
      <c r="H443">
        <v>30</v>
      </c>
      <c r="I443">
        <v>14691.07</v>
      </c>
      <c r="J443">
        <v>0</v>
      </c>
      <c r="K443">
        <v>0</v>
      </c>
      <c r="L443">
        <v>2024</v>
      </c>
    </row>
    <row r="444" spans="1:12" x14ac:dyDescent="0.25">
      <c r="A444" s="1" t="s">
        <v>479</v>
      </c>
      <c r="B444" s="1" t="s">
        <v>17</v>
      </c>
      <c r="C444">
        <v>46</v>
      </c>
      <c r="D444" s="1" t="s">
        <v>422</v>
      </c>
      <c r="E444">
        <v>55784.7</v>
      </c>
      <c r="F444">
        <v>54318.69</v>
      </c>
      <c r="G444">
        <v>13</v>
      </c>
      <c r="H444">
        <v>20</v>
      </c>
      <c r="I444">
        <v>35920.51</v>
      </c>
      <c r="J444">
        <v>2038.78</v>
      </c>
      <c r="K444">
        <v>0</v>
      </c>
      <c r="L444">
        <v>2024</v>
      </c>
    </row>
    <row r="445" spans="1:12" x14ac:dyDescent="0.25">
      <c r="A445" s="1" t="s">
        <v>480</v>
      </c>
      <c r="B445" s="1" t="s">
        <v>17</v>
      </c>
      <c r="C445">
        <v>39</v>
      </c>
      <c r="D445" s="1" t="s">
        <v>422</v>
      </c>
      <c r="E445">
        <v>39340.28</v>
      </c>
      <c r="F445">
        <v>41132.199999999997</v>
      </c>
      <c r="G445">
        <v>36</v>
      </c>
      <c r="H445">
        <v>7</v>
      </c>
      <c r="I445">
        <v>26536.23</v>
      </c>
      <c r="J445">
        <v>2169.11</v>
      </c>
      <c r="K445">
        <v>0</v>
      </c>
      <c r="L445">
        <v>2024</v>
      </c>
    </row>
    <row r="446" spans="1:12" x14ac:dyDescent="0.25">
      <c r="A446" s="1" t="s">
        <v>481</v>
      </c>
      <c r="B446" s="1" t="s">
        <v>15</v>
      </c>
      <c r="C446">
        <v>68</v>
      </c>
      <c r="D446" s="1" t="s">
        <v>422</v>
      </c>
      <c r="E446">
        <v>72082.11</v>
      </c>
      <c r="F446">
        <v>57180.480000000003</v>
      </c>
      <c r="G446">
        <v>29</v>
      </c>
      <c r="H446">
        <v>45</v>
      </c>
      <c r="I446">
        <v>27034.67</v>
      </c>
      <c r="J446">
        <v>0</v>
      </c>
      <c r="K446">
        <v>0</v>
      </c>
      <c r="L446">
        <v>2024</v>
      </c>
    </row>
    <row r="447" spans="1:12" x14ac:dyDescent="0.25">
      <c r="A447" s="1" t="s">
        <v>482</v>
      </c>
      <c r="B447" s="1" t="s">
        <v>14</v>
      </c>
      <c r="C447">
        <v>90</v>
      </c>
      <c r="D447" s="1" t="s">
        <v>422</v>
      </c>
      <c r="E447">
        <v>96685.01</v>
      </c>
      <c r="F447">
        <v>79822.84</v>
      </c>
      <c r="G447">
        <v>10</v>
      </c>
      <c r="H447">
        <v>3</v>
      </c>
      <c r="I447">
        <v>78975.539999999994</v>
      </c>
      <c r="J447">
        <v>0</v>
      </c>
      <c r="K447">
        <v>0</v>
      </c>
      <c r="L447">
        <v>2024</v>
      </c>
    </row>
    <row r="448" spans="1:12" x14ac:dyDescent="0.25">
      <c r="A448" s="1" t="s">
        <v>483</v>
      </c>
      <c r="B448" s="1" t="s">
        <v>17</v>
      </c>
      <c r="C448">
        <v>18</v>
      </c>
      <c r="D448" s="1" t="s">
        <v>422</v>
      </c>
      <c r="E448">
        <v>28278.06</v>
      </c>
      <c r="F448">
        <v>24877.47</v>
      </c>
      <c r="G448">
        <v>62</v>
      </c>
      <c r="H448">
        <v>38</v>
      </c>
      <c r="I448">
        <v>77411.259999999995</v>
      </c>
      <c r="J448">
        <v>1521.32</v>
      </c>
      <c r="K448">
        <v>0</v>
      </c>
      <c r="L448">
        <v>2024</v>
      </c>
    </row>
    <row r="449" spans="1:12" x14ac:dyDescent="0.25">
      <c r="A449" s="1" t="s">
        <v>484</v>
      </c>
      <c r="B449" s="1" t="s">
        <v>15</v>
      </c>
      <c r="C449">
        <v>117</v>
      </c>
      <c r="D449" s="1" t="s">
        <v>422</v>
      </c>
      <c r="E449">
        <v>79824.92</v>
      </c>
      <c r="F449">
        <v>51104.24</v>
      </c>
      <c r="G449">
        <v>32</v>
      </c>
      <c r="H449">
        <v>21</v>
      </c>
      <c r="I449">
        <v>53808.21</v>
      </c>
      <c r="J449">
        <v>0</v>
      </c>
      <c r="K449">
        <v>0</v>
      </c>
      <c r="L449">
        <v>2024</v>
      </c>
    </row>
    <row r="450" spans="1:12" x14ac:dyDescent="0.25">
      <c r="A450" s="1" t="s">
        <v>485</v>
      </c>
      <c r="B450" s="1" t="s">
        <v>12</v>
      </c>
      <c r="C450">
        <v>52</v>
      </c>
      <c r="D450" s="1" t="s">
        <v>422</v>
      </c>
      <c r="E450">
        <v>55197.96</v>
      </c>
      <c r="F450">
        <v>49742.03</v>
      </c>
      <c r="G450">
        <v>46</v>
      </c>
      <c r="H450">
        <v>22</v>
      </c>
      <c r="I450">
        <v>20653.189999999999</v>
      </c>
      <c r="J450">
        <v>6013.54</v>
      </c>
      <c r="K450">
        <v>0</v>
      </c>
      <c r="L450">
        <v>2024</v>
      </c>
    </row>
    <row r="451" spans="1:12" x14ac:dyDescent="0.25">
      <c r="A451" s="1" t="s">
        <v>486</v>
      </c>
      <c r="B451" s="1" t="s">
        <v>16</v>
      </c>
      <c r="C451">
        <v>65</v>
      </c>
      <c r="D451" s="1" t="s">
        <v>422</v>
      </c>
      <c r="E451">
        <v>55421.16</v>
      </c>
      <c r="F451">
        <v>50798.69</v>
      </c>
      <c r="G451">
        <v>68</v>
      </c>
      <c r="H451">
        <v>63</v>
      </c>
      <c r="I451">
        <v>27.04</v>
      </c>
      <c r="J451">
        <v>3044.51</v>
      </c>
      <c r="K451">
        <v>1</v>
      </c>
      <c r="L451">
        <v>2024</v>
      </c>
    </row>
    <row r="452" spans="1:12" x14ac:dyDescent="0.25">
      <c r="A452" s="1" t="s">
        <v>487</v>
      </c>
      <c r="B452" s="1" t="s">
        <v>15</v>
      </c>
      <c r="C452">
        <v>111</v>
      </c>
      <c r="D452" s="1" t="s">
        <v>422</v>
      </c>
      <c r="E452">
        <v>98675.13</v>
      </c>
      <c r="F452">
        <v>62715.1</v>
      </c>
      <c r="G452">
        <v>23</v>
      </c>
      <c r="H452">
        <v>45</v>
      </c>
      <c r="I452">
        <v>27092.77</v>
      </c>
      <c r="J452">
        <v>6348.28</v>
      </c>
      <c r="K452">
        <v>0</v>
      </c>
      <c r="L452">
        <v>2024</v>
      </c>
    </row>
    <row r="453" spans="1:12" x14ac:dyDescent="0.25">
      <c r="A453" s="1" t="s">
        <v>488</v>
      </c>
      <c r="B453" s="1" t="s">
        <v>12</v>
      </c>
      <c r="C453">
        <v>52</v>
      </c>
      <c r="D453" s="1" t="s">
        <v>422</v>
      </c>
      <c r="E453">
        <v>58976.67</v>
      </c>
      <c r="F453">
        <v>46989.05</v>
      </c>
      <c r="G453">
        <v>28</v>
      </c>
      <c r="H453">
        <v>15</v>
      </c>
      <c r="I453">
        <v>71594.62</v>
      </c>
      <c r="J453">
        <v>0</v>
      </c>
      <c r="K453">
        <v>1</v>
      </c>
      <c r="L453">
        <v>2024</v>
      </c>
    </row>
    <row r="454" spans="1:12" x14ac:dyDescent="0.25">
      <c r="A454" s="1" t="s">
        <v>489</v>
      </c>
      <c r="B454" s="1" t="s">
        <v>18</v>
      </c>
      <c r="C454">
        <v>42</v>
      </c>
      <c r="D454" s="1" t="s">
        <v>422</v>
      </c>
      <c r="E454">
        <v>41925.160000000003</v>
      </c>
      <c r="F454">
        <v>36588.120000000003</v>
      </c>
      <c r="G454">
        <v>55</v>
      </c>
      <c r="H454">
        <v>0</v>
      </c>
      <c r="I454">
        <v>11301.12</v>
      </c>
      <c r="J454">
        <v>2011.35</v>
      </c>
      <c r="K454">
        <v>0</v>
      </c>
      <c r="L454">
        <v>2024</v>
      </c>
    </row>
    <row r="455" spans="1:12" x14ac:dyDescent="0.25">
      <c r="A455" s="1" t="s">
        <v>490</v>
      </c>
      <c r="B455" s="1" t="s">
        <v>15</v>
      </c>
      <c r="C455">
        <v>24</v>
      </c>
      <c r="D455" s="1" t="s">
        <v>422</v>
      </c>
      <c r="E455">
        <v>13915.38</v>
      </c>
      <c r="F455">
        <v>9077.51</v>
      </c>
      <c r="G455">
        <v>10</v>
      </c>
      <c r="H455">
        <v>40</v>
      </c>
      <c r="I455">
        <v>49132.61</v>
      </c>
      <c r="J455">
        <v>0</v>
      </c>
      <c r="K455">
        <v>0</v>
      </c>
      <c r="L455">
        <v>2024</v>
      </c>
    </row>
    <row r="456" spans="1:12" x14ac:dyDescent="0.25">
      <c r="A456" s="1" t="s">
        <v>491</v>
      </c>
      <c r="B456" s="1" t="s">
        <v>18</v>
      </c>
      <c r="C456">
        <v>116</v>
      </c>
      <c r="D456" s="1" t="s">
        <v>422</v>
      </c>
      <c r="E456">
        <v>94574.15</v>
      </c>
      <c r="F456">
        <v>63984.32</v>
      </c>
      <c r="G456">
        <v>15</v>
      </c>
      <c r="H456">
        <v>67</v>
      </c>
      <c r="I456">
        <v>88108.46</v>
      </c>
      <c r="J456">
        <v>0</v>
      </c>
      <c r="K456">
        <v>0</v>
      </c>
      <c r="L456">
        <v>2024</v>
      </c>
    </row>
    <row r="457" spans="1:12" x14ac:dyDescent="0.25">
      <c r="A457" s="1" t="s">
        <v>492</v>
      </c>
      <c r="B457" s="1" t="s">
        <v>17</v>
      </c>
      <c r="C457">
        <v>38</v>
      </c>
      <c r="D457" s="1" t="s">
        <v>422</v>
      </c>
      <c r="E457">
        <v>38756.019999999997</v>
      </c>
      <c r="F457">
        <v>28764.01</v>
      </c>
      <c r="G457">
        <v>20</v>
      </c>
      <c r="H457">
        <v>39</v>
      </c>
      <c r="I457">
        <v>46548.66</v>
      </c>
      <c r="J457">
        <v>1061.0899999999999</v>
      </c>
      <c r="K457">
        <v>0</v>
      </c>
      <c r="L457">
        <v>2024</v>
      </c>
    </row>
    <row r="458" spans="1:12" x14ac:dyDescent="0.25">
      <c r="A458" s="1" t="s">
        <v>493</v>
      </c>
      <c r="B458" s="1" t="s">
        <v>18</v>
      </c>
      <c r="C458">
        <v>6</v>
      </c>
      <c r="D458" s="1" t="s">
        <v>422</v>
      </c>
      <c r="E458">
        <v>13935.24</v>
      </c>
      <c r="F458">
        <v>9263.3799999999992</v>
      </c>
      <c r="G458">
        <v>45</v>
      </c>
      <c r="H458">
        <v>27</v>
      </c>
      <c r="I458">
        <v>27299.759999999998</v>
      </c>
      <c r="J458">
        <v>0</v>
      </c>
      <c r="K458">
        <v>0</v>
      </c>
      <c r="L458">
        <v>2024</v>
      </c>
    </row>
    <row r="459" spans="1:12" x14ac:dyDescent="0.25">
      <c r="A459" s="1" t="s">
        <v>494</v>
      </c>
      <c r="B459" s="1" t="s">
        <v>12</v>
      </c>
      <c r="C459">
        <v>17</v>
      </c>
      <c r="D459" s="1" t="s">
        <v>422</v>
      </c>
      <c r="E459">
        <v>20760.03</v>
      </c>
      <c r="F459">
        <v>12593.26</v>
      </c>
      <c r="G459">
        <v>19</v>
      </c>
      <c r="H459">
        <v>32</v>
      </c>
      <c r="I459">
        <v>13981.39</v>
      </c>
      <c r="J459">
        <v>5008.01</v>
      </c>
      <c r="K459">
        <v>0</v>
      </c>
      <c r="L459">
        <v>2024</v>
      </c>
    </row>
    <row r="460" spans="1:12" x14ac:dyDescent="0.25">
      <c r="A460" s="1" t="s">
        <v>495</v>
      </c>
      <c r="B460" s="1" t="s">
        <v>16</v>
      </c>
      <c r="C460">
        <v>22</v>
      </c>
      <c r="D460" s="1" t="s">
        <v>422</v>
      </c>
      <c r="E460">
        <v>31773.23</v>
      </c>
      <c r="F460">
        <v>23061.49</v>
      </c>
      <c r="G460">
        <v>52</v>
      </c>
      <c r="H460">
        <v>18</v>
      </c>
      <c r="I460">
        <v>0</v>
      </c>
      <c r="J460">
        <v>7835.7</v>
      </c>
      <c r="K460">
        <v>0</v>
      </c>
      <c r="L460">
        <v>2024</v>
      </c>
    </row>
    <row r="461" spans="1:12" x14ac:dyDescent="0.25">
      <c r="A461" s="1" t="s">
        <v>496</v>
      </c>
      <c r="B461" s="1" t="s">
        <v>16</v>
      </c>
      <c r="C461">
        <v>87</v>
      </c>
      <c r="D461" s="1" t="s">
        <v>422</v>
      </c>
      <c r="E461">
        <v>74151.48</v>
      </c>
      <c r="F461">
        <v>63132.51</v>
      </c>
      <c r="G461">
        <v>19</v>
      </c>
      <c r="H461">
        <v>24</v>
      </c>
      <c r="I461">
        <v>0</v>
      </c>
      <c r="J461">
        <v>0</v>
      </c>
      <c r="K461">
        <v>0</v>
      </c>
      <c r="L461">
        <v>2024</v>
      </c>
    </row>
    <row r="462" spans="1:12" x14ac:dyDescent="0.25">
      <c r="A462" s="1" t="s">
        <v>497</v>
      </c>
      <c r="B462" s="1" t="s">
        <v>14</v>
      </c>
      <c r="C462">
        <v>22</v>
      </c>
      <c r="D462" s="1" t="s">
        <v>422</v>
      </c>
      <c r="E462">
        <v>23112.79</v>
      </c>
      <c r="F462">
        <v>17516.18</v>
      </c>
      <c r="G462">
        <v>76</v>
      </c>
      <c r="H462">
        <v>22</v>
      </c>
      <c r="I462">
        <v>5936.28</v>
      </c>
      <c r="J462">
        <v>2937.68</v>
      </c>
      <c r="K462">
        <v>0</v>
      </c>
      <c r="L462">
        <v>2024</v>
      </c>
    </row>
    <row r="463" spans="1:12" x14ac:dyDescent="0.25">
      <c r="A463" s="1" t="s">
        <v>498</v>
      </c>
      <c r="B463" s="1" t="s">
        <v>16</v>
      </c>
      <c r="C463">
        <v>84</v>
      </c>
      <c r="D463" s="1" t="s">
        <v>422</v>
      </c>
      <c r="E463">
        <v>85012.6</v>
      </c>
      <c r="F463">
        <v>62444.57</v>
      </c>
      <c r="G463">
        <v>44</v>
      </c>
      <c r="H463">
        <v>0</v>
      </c>
      <c r="I463">
        <v>36529.82</v>
      </c>
      <c r="J463">
        <v>7052.66</v>
      </c>
      <c r="K463">
        <v>0</v>
      </c>
      <c r="L463">
        <v>2024</v>
      </c>
    </row>
    <row r="464" spans="1:12" x14ac:dyDescent="0.25">
      <c r="A464" s="1" t="s">
        <v>499</v>
      </c>
      <c r="B464" s="1" t="s">
        <v>16</v>
      </c>
      <c r="C464">
        <v>41</v>
      </c>
      <c r="D464" s="1" t="s">
        <v>422</v>
      </c>
      <c r="E464">
        <v>48436.7</v>
      </c>
      <c r="F464">
        <v>33833.24</v>
      </c>
      <c r="G464">
        <v>38</v>
      </c>
      <c r="H464">
        <v>52</v>
      </c>
      <c r="I464">
        <v>42252.75</v>
      </c>
      <c r="J464">
        <v>3248.15</v>
      </c>
      <c r="K464">
        <v>1</v>
      </c>
      <c r="L464">
        <v>2024</v>
      </c>
    </row>
    <row r="465" spans="1:12" x14ac:dyDescent="0.25">
      <c r="A465" s="1" t="s">
        <v>500</v>
      </c>
      <c r="B465" s="1" t="s">
        <v>12</v>
      </c>
      <c r="C465">
        <v>113</v>
      </c>
      <c r="D465" s="1" t="s">
        <v>422</v>
      </c>
      <c r="E465">
        <v>106733.12</v>
      </c>
      <c r="F465">
        <v>88213.61</v>
      </c>
      <c r="G465">
        <v>47</v>
      </c>
      <c r="H465">
        <v>62</v>
      </c>
      <c r="I465">
        <v>24331.599999999999</v>
      </c>
      <c r="J465">
        <v>0</v>
      </c>
      <c r="K465">
        <v>0</v>
      </c>
      <c r="L465">
        <v>2024</v>
      </c>
    </row>
    <row r="466" spans="1:12" x14ac:dyDescent="0.25">
      <c r="A466" s="1" t="s">
        <v>501</v>
      </c>
      <c r="B466" s="1" t="s">
        <v>16</v>
      </c>
      <c r="C466">
        <v>120</v>
      </c>
      <c r="D466" s="1" t="s">
        <v>422</v>
      </c>
      <c r="E466">
        <v>99168.77</v>
      </c>
      <c r="F466">
        <v>76156.639999999999</v>
      </c>
      <c r="G466">
        <v>42</v>
      </c>
      <c r="H466">
        <v>19</v>
      </c>
      <c r="I466">
        <v>21200.15</v>
      </c>
      <c r="J466">
        <v>0</v>
      </c>
      <c r="K466">
        <v>0</v>
      </c>
      <c r="L466">
        <v>2024</v>
      </c>
    </row>
    <row r="467" spans="1:12" x14ac:dyDescent="0.25">
      <c r="A467" s="1" t="s">
        <v>502</v>
      </c>
      <c r="B467" s="1" t="s">
        <v>17</v>
      </c>
      <c r="C467">
        <v>79</v>
      </c>
      <c r="D467" s="1" t="s">
        <v>422</v>
      </c>
      <c r="E467">
        <v>66851.740000000005</v>
      </c>
      <c r="F467">
        <v>43521.15</v>
      </c>
      <c r="G467">
        <v>36</v>
      </c>
      <c r="H467">
        <v>41</v>
      </c>
      <c r="I467">
        <v>46776.12</v>
      </c>
      <c r="J467">
        <v>0</v>
      </c>
      <c r="K467">
        <v>0</v>
      </c>
      <c r="L467">
        <v>2024</v>
      </c>
    </row>
    <row r="468" spans="1:12" x14ac:dyDescent="0.25">
      <c r="A468" s="1" t="s">
        <v>503</v>
      </c>
      <c r="B468" s="1" t="s">
        <v>18</v>
      </c>
      <c r="C468">
        <v>66</v>
      </c>
      <c r="D468" s="1" t="s">
        <v>422</v>
      </c>
      <c r="E468">
        <v>61412.83</v>
      </c>
      <c r="F468">
        <v>65873.61</v>
      </c>
      <c r="G468">
        <v>47</v>
      </c>
      <c r="H468">
        <v>37</v>
      </c>
      <c r="I468">
        <v>11393.65</v>
      </c>
      <c r="J468">
        <v>2431.46</v>
      </c>
      <c r="K468">
        <v>1</v>
      </c>
      <c r="L468">
        <v>2024</v>
      </c>
    </row>
    <row r="469" spans="1:12" x14ac:dyDescent="0.25">
      <c r="A469" s="1" t="s">
        <v>504</v>
      </c>
      <c r="B469" s="1" t="s">
        <v>14</v>
      </c>
      <c r="C469">
        <v>62</v>
      </c>
      <c r="D469" s="1" t="s">
        <v>422</v>
      </c>
      <c r="E469">
        <v>47829.47</v>
      </c>
      <c r="F469">
        <v>38635.730000000003</v>
      </c>
      <c r="G469">
        <v>28</v>
      </c>
      <c r="H469">
        <v>27</v>
      </c>
      <c r="I469">
        <v>64251.71</v>
      </c>
      <c r="J469">
        <v>7559.68</v>
      </c>
      <c r="K469">
        <v>0</v>
      </c>
      <c r="L469">
        <v>2024</v>
      </c>
    </row>
    <row r="470" spans="1:12" x14ac:dyDescent="0.25">
      <c r="A470" s="1" t="s">
        <v>505</v>
      </c>
      <c r="B470" s="1" t="s">
        <v>16</v>
      </c>
      <c r="C470">
        <v>97</v>
      </c>
      <c r="D470" s="1" t="s">
        <v>422</v>
      </c>
      <c r="E470">
        <v>73328.14</v>
      </c>
      <c r="F470">
        <v>72278.05</v>
      </c>
      <c r="G470">
        <v>42</v>
      </c>
      <c r="H470">
        <v>8</v>
      </c>
      <c r="I470">
        <v>61999.47</v>
      </c>
      <c r="J470">
        <v>4761.54</v>
      </c>
      <c r="K470">
        <v>0</v>
      </c>
      <c r="L470">
        <v>2024</v>
      </c>
    </row>
    <row r="471" spans="1:12" x14ac:dyDescent="0.25">
      <c r="A471" s="1" t="s">
        <v>506</v>
      </c>
      <c r="B471" s="1" t="s">
        <v>17</v>
      </c>
      <c r="C471">
        <v>58</v>
      </c>
      <c r="D471" s="1" t="s">
        <v>422</v>
      </c>
      <c r="E471">
        <v>61434.75</v>
      </c>
      <c r="F471">
        <v>50338.57</v>
      </c>
      <c r="G471">
        <v>32</v>
      </c>
      <c r="H471">
        <v>47</v>
      </c>
      <c r="I471">
        <v>44473.61</v>
      </c>
      <c r="J471">
        <v>725.03</v>
      </c>
      <c r="K471">
        <v>0</v>
      </c>
      <c r="L471">
        <v>2024</v>
      </c>
    </row>
    <row r="472" spans="1:12" x14ac:dyDescent="0.25">
      <c r="A472" s="1" t="s">
        <v>507</v>
      </c>
      <c r="B472" s="1" t="s">
        <v>14</v>
      </c>
      <c r="C472">
        <v>14</v>
      </c>
      <c r="D472" s="1" t="s">
        <v>422</v>
      </c>
      <c r="E472">
        <v>30248.19</v>
      </c>
      <c r="F472">
        <v>28681.52</v>
      </c>
      <c r="G472">
        <v>22</v>
      </c>
      <c r="H472">
        <v>50</v>
      </c>
      <c r="I472">
        <v>74673.81</v>
      </c>
      <c r="J472">
        <v>0</v>
      </c>
      <c r="K472">
        <v>1</v>
      </c>
      <c r="L472">
        <v>2024</v>
      </c>
    </row>
    <row r="473" spans="1:12" x14ac:dyDescent="0.25">
      <c r="A473" s="1" t="s">
        <v>508</v>
      </c>
      <c r="B473" s="1" t="s">
        <v>14</v>
      </c>
      <c r="C473">
        <v>54</v>
      </c>
      <c r="D473" s="1" t="s">
        <v>422</v>
      </c>
      <c r="E473">
        <v>42058.28</v>
      </c>
      <c r="F473">
        <v>32091.78</v>
      </c>
      <c r="G473">
        <v>42</v>
      </c>
      <c r="H473">
        <v>36</v>
      </c>
      <c r="I473">
        <v>21814.09</v>
      </c>
      <c r="J473">
        <v>9259.39</v>
      </c>
      <c r="K473">
        <v>0</v>
      </c>
      <c r="L473">
        <v>2024</v>
      </c>
    </row>
    <row r="474" spans="1:12" x14ac:dyDescent="0.25">
      <c r="A474" s="1" t="s">
        <v>509</v>
      </c>
      <c r="B474" s="1" t="s">
        <v>17</v>
      </c>
      <c r="C474">
        <v>107</v>
      </c>
      <c r="D474" s="1" t="s">
        <v>25</v>
      </c>
      <c r="E474">
        <v>83054.710000000006</v>
      </c>
      <c r="F474">
        <v>60312.47</v>
      </c>
      <c r="G474">
        <v>28</v>
      </c>
      <c r="H474">
        <v>21</v>
      </c>
      <c r="I474">
        <v>26200.9</v>
      </c>
      <c r="J474">
        <v>0</v>
      </c>
      <c r="K474">
        <v>0</v>
      </c>
      <c r="L474">
        <v>2024</v>
      </c>
    </row>
    <row r="475" spans="1:12" x14ac:dyDescent="0.25">
      <c r="A475" s="1" t="s">
        <v>510</v>
      </c>
      <c r="B475" s="1" t="s">
        <v>15</v>
      </c>
      <c r="C475">
        <v>71</v>
      </c>
      <c r="D475" s="1" t="s">
        <v>25</v>
      </c>
      <c r="E475">
        <v>61988.959999999999</v>
      </c>
      <c r="F475">
        <v>65987.75</v>
      </c>
      <c r="G475">
        <v>32</v>
      </c>
      <c r="H475">
        <v>30</v>
      </c>
      <c r="I475">
        <v>15951.91</v>
      </c>
      <c r="J475">
        <v>2452.86</v>
      </c>
      <c r="K475">
        <v>0</v>
      </c>
      <c r="L475">
        <v>2024</v>
      </c>
    </row>
    <row r="476" spans="1:12" x14ac:dyDescent="0.25">
      <c r="A476" s="1" t="s">
        <v>511</v>
      </c>
      <c r="B476" s="1" t="s">
        <v>15</v>
      </c>
      <c r="C476">
        <v>15</v>
      </c>
      <c r="D476" s="1" t="s">
        <v>25</v>
      </c>
      <c r="E476">
        <v>15731.52</v>
      </c>
      <c r="F476">
        <v>15327.42</v>
      </c>
      <c r="G476">
        <v>17</v>
      </c>
      <c r="H476">
        <v>39</v>
      </c>
      <c r="I476">
        <v>36019.129999999997</v>
      </c>
      <c r="J476">
        <v>1459.34</v>
      </c>
      <c r="K476">
        <v>1</v>
      </c>
      <c r="L476">
        <v>2024</v>
      </c>
    </row>
    <row r="477" spans="1:12" x14ac:dyDescent="0.25">
      <c r="A477" s="1" t="s">
        <v>512</v>
      </c>
      <c r="B477" s="1" t="s">
        <v>15</v>
      </c>
      <c r="C477">
        <v>115</v>
      </c>
      <c r="D477" s="1" t="s">
        <v>25</v>
      </c>
      <c r="E477">
        <v>107471.41</v>
      </c>
      <c r="F477">
        <v>88884.63</v>
      </c>
      <c r="G477">
        <v>31</v>
      </c>
      <c r="H477">
        <v>8</v>
      </c>
      <c r="I477">
        <v>27722.93</v>
      </c>
      <c r="J477">
        <v>5308.2</v>
      </c>
      <c r="K477">
        <v>0</v>
      </c>
      <c r="L477">
        <v>2024</v>
      </c>
    </row>
    <row r="478" spans="1:12" x14ac:dyDescent="0.25">
      <c r="A478" s="1" t="s">
        <v>513</v>
      </c>
      <c r="B478" s="1" t="s">
        <v>16</v>
      </c>
      <c r="C478">
        <v>73</v>
      </c>
      <c r="D478" s="1" t="s">
        <v>25</v>
      </c>
      <c r="E478">
        <v>67376.11</v>
      </c>
      <c r="F478">
        <v>54984.86</v>
      </c>
      <c r="G478">
        <v>26</v>
      </c>
      <c r="H478">
        <v>21</v>
      </c>
      <c r="I478">
        <v>25400.46</v>
      </c>
      <c r="J478">
        <v>4102.3999999999996</v>
      </c>
      <c r="K478">
        <v>0</v>
      </c>
      <c r="L478">
        <v>2024</v>
      </c>
    </row>
    <row r="479" spans="1:12" x14ac:dyDescent="0.25">
      <c r="A479" s="1" t="s">
        <v>514</v>
      </c>
      <c r="B479" s="1" t="s">
        <v>15</v>
      </c>
      <c r="C479">
        <v>94</v>
      </c>
      <c r="D479" s="1" t="s">
        <v>25</v>
      </c>
      <c r="E479">
        <v>72080.100000000006</v>
      </c>
      <c r="F479">
        <v>59488.66</v>
      </c>
      <c r="G479">
        <v>17</v>
      </c>
      <c r="H479">
        <v>40</v>
      </c>
      <c r="I479">
        <v>29294.26</v>
      </c>
      <c r="J479">
        <v>7968.16</v>
      </c>
      <c r="K479">
        <v>0</v>
      </c>
      <c r="L479">
        <v>2024</v>
      </c>
    </row>
    <row r="480" spans="1:12" x14ac:dyDescent="0.25">
      <c r="A480" s="1" t="s">
        <v>515</v>
      </c>
      <c r="B480" s="1" t="s">
        <v>18</v>
      </c>
      <c r="C480">
        <v>49</v>
      </c>
      <c r="D480" s="1" t="s">
        <v>25</v>
      </c>
      <c r="E480">
        <v>38615.67</v>
      </c>
      <c r="F480">
        <v>33812.35</v>
      </c>
      <c r="G480">
        <v>20</v>
      </c>
      <c r="H480">
        <v>26</v>
      </c>
      <c r="I480">
        <v>21858.799999999999</v>
      </c>
      <c r="J480">
        <v>3823.19</v>
      </c>
      <c r="K480">
        <v>0</v>
      </c>
      <c r="L480">
        <v>2024</v>
      </c>
    </row>
    <row r="481" spans="1:12" x14ac:dyDescent="0.25">
      <c r="A481" s="1" t="s">
        <v>516</v>
      </c>
      <c r="B481" s="1" t="s">
        <v>17</v>
      </c>
      <c r="C481">
        <v>32</v>
      </c>
      <c r="D481" s="1" t="s">
        <v>25</v>
      </c>
      <c r="E481">
        <v>31220.31</v>
      </c>
      <c r="F481">
        <v>33006.660000000003</v>
      </c>
      <c r="G481">
        <v>62</v>
      </c>
      <c r="H481">
        <v>32</v>
      </c>
      <c r="I481">
        <v>3333.24</v>
      </c>
      <c r="J481">
        <v>0</v>
      </c>
      <c r="K481">
        <v>0</v>
      </c>
      <c r="L481">
        <v>2024</v>
      </c>
    </row>
    <row r="482" spans="1:12" x14ac:dyDescent="0.25">
      <c r="A482" s="1" t="s">
        <v>517</v>
      </c>
      <c r="B482" s="1" t="s">
        <v>14</v>
      </c>
      <c r="C482">
        <v>89</v>
      </c>
      <c r="D482" s="1" t="s">
        <v>25</v>
      </c>
      <c r="E482">
        <v>74561.259999999995</v>
      </c>
      <c r="F482">
        <v>50083.64</v>
      </c>
      <c r="G482">
        <v>28</v>
      </c>
      <c r="H482">
        <v>15</v>
      </c>
      <c r="I482">
        <v>70532.02</v>
      </c>
      <c r="J482">
        <v>5545.61</v>
      </c>
      <c r="K482">
        <v>0</v>
      </c>
      <c r="L482">
        <v>2024</v>
      </c>
    </row>
    <row r="483" spans="1:12" x14ac:dyDescent="0.25">
      <c r="A483" s="1" t="s">
        <v>518</v>
      </c>
      <c r="B483" s="1" t="s">
        <v>18</v>
      </c>
      <c r="C483">
        <v>30</v>
      </c>
      <c r="D483" s="1" t="s">
        <v>25</v>
      </c>
      <c r="E483">
        <v>29894.34</v>
      </c>
      <c r="F483">
        <v>22063.040000000001</v>
      </c>
      <c r="G483">
        <v>60</v>
      </c>
      <c r="H483">
        <v>13</v>
      </c>
      <c r="I483">
        <v>13485.39</v>
      </c>
      <c r="J483">
        <v>1536.81</v>
      </c>
      <c r="K483">
        <v>0</v>
      </c>
      <c r="L483">
        <v>2024</v>
      </c>
    </row>
    <row r="484" spans="1:12" x14ac:dyDescent="0.25">
      <c r="A484" s="1" t="s">
        <v>519</v>
      </c>
      <c r="B484" s="1" t="s">
        <v>15</v>
      </c>
      <c r="C484">
        <v>66</v>
      </c>
      <c r="D484" s="1" t="s">
        <v>25</v>
      </c>
      <c r="E484">
        <v>50772.89</v>
      </c>
      <c r="F484">
        <v>54379.28</v>
      </c>
      <c r="G484">
        <v>70</v>
      </c>
      <c r="H484">
        <v>66</v>
      </c>
      <c r="I484">
        <v>45578</v>
      </c>
      <c r="J484">
        <v>0</v>
      </c>
      <c r="K484">
        <v>0</v>
      </c>
      <c r="L484">
        <v>2024</v>
      </c>
    </row>
    <row r="485" spans="1:12" x14ac:dyDescent="0.25">
      <c r="A485" s="1" t="s">
        <v>520</v>
      </c>
      <c r="B485" s="1" t="s">
        <v>14</v>
      </c>
      <c r="C485">
        <v>41</v>
      </c>
      <c r="D485" s="1" t="s">
        <v>25</v>
      </c>
      <c r="E485">
        <v>39016.78</v>
      </c>
      <c r="F485">
        <v>22883.8</v>
      </c>
      <c r="G485">
        <v>28</v>
      </c>
      <c r="H485">
        <v>0</v>
      </c>
      <c r="I485">
        <v>60739.360000000001</v>
      </c>
      <c r="J485">
        <v>1739.84</v>
      </c>
      <c r="K485">
        <v>0</v>
      </c>
      <c r="L485">
        <v>2024</v>
      </c>
    </row>
    <row r="486" spans="1:12" x14ac:dyDescent="0.25">
      <c r="A486" s="1" t="s">
        <v>521</v>
      </c>
      <c r="B486" s="1" t="s">
        <v>17</v>
      </c>
      <c r="C486">
        <v>18</v>
      </c>
      <c r="D486" s="1" t="s">
        <v>25</v>
      </c>
      <c r="E486">
        <v>10408.49</v>
      </c>
      <c r="F486">
        <v>7421.08</v>
      </c>
      <c r="G486">
        <v>42</v>
      </c>
      <c r="H486">
        <v>43</v>
      </c>
      <c r="I486">
        <v>78565.75</v>
      </c>
      <c r="J486">
        <v>2843.04</v>
      </c>
      <c r="K486">
        <v>0</v>
      </c>
      <c r="L486">
        <v>2024</v>
      </c>
    </row>
    <row r="487" spans="1:12" x14ac:dyDescent="0.25">
      <c r="A487" s="1" t="s">
        <v>522</v>
      </c>
      <c r="B487" s="1" t="s">
        <v>17</v>
      </c>
      <c r="C487">
        <v>58</v>
      </c>
      <c r="D487" s="1" t="s">
        <v>25</v>
      </c>
      <c r="E487">
        <v>48741.52</v>
      </c>
      <c r="F487">
        <v>38475.980000000003</v>
      </c>
      <c r="G487">
        <v>41</v>
      </c>
      <c r="H487">
        <v>52</v>
      </c>
      <c r="I487">
        <v>8915.56</v>
      </c>
      <c r="J487">
        <v>7718.02</v>
      </c>
      <c r="K487">
        <v>0</v>
      </c>
      <c r="L487">
        <v>2024</v>
      </c>
    </row>
    <row r="488" spans="1:12" x14ac:dyDescent="0.25">
      <c r="A488" s="1" t="s">
        <v>523</v>
      </c>
      <c r="B488" s="1" t="s">
        <v>16</v>
      </c>
      <c r="C488">
        <v>10</v>
      </c>
      <c r="D488" s="1" t="s">
        <v>25</v>
      </c>
      <c r="E488">
        <v>15761.18</v>
      </c>
      <c r="F488">
        <v>15548.28</v>
      </c>
      <c r="G488">
        <v>29</v>
      </c>
      <c r="H488">
        <v>12</v>
      </c>
      <c r="I488">
        <v>24818.71</v>
      </c>
      <c r="J488">
        <v>3912.1</v>
      </c>
      <c r="K488">
        <v>0</v>
      </c>
      <c r="L488">
        <v>2024</v>
      </c>
    </row>
    <row r="489" spans="1:12" x14ac:dyDescent="0.25">
      <c r="A489" s="1" t="s">
        <v>524</v>
      </c>
      <c r="B489" s="1" t="s">
        <v>12</v>
      </c>
      <c r="C489">
        <v>88</v>
      </c>
      <c r="D489" s="1" t="s">
        <v>25</v>
      </c>
      <c r="E489">
        <v>74206.86</v>
      </c>
      <c r="F489">
        <v>66007.460000000006</v>
      </c>
      <c r="G489">
        <v>28</v>
      </c>
      <c r="H489">
        <v>37</v>
      </c>
      <c r="I489">
        <v>0</v>
      </c>
      <c r="J489">
        <v>5316.79</v>
      </c>
      <c r="K489">
        <v>1</v>
      </c>
      <c r="L489">
        <v>2024</v>
      </c>
    </row>
    <row r="490" spans="1:12" x14ac:dyDescent="0.25">
      <c r="A490" s="1" t="s">
        <v>525</v>
      </c>
      <c r="B490" s="1" t="s">
        <v>16</v>
      </c>
      <c r="C490">
        <v>48</v>
      </c>
      <c r="D490" s="1" t="s">
        <v>25</v>
      </c>
      <c r="E490">
        <v>48914.22</v>
      </c>
      <c r="F490">
        <v>39805.43</v>
      </c>
      <c r="G490">
        <v>27</v>
      </c>
      <c r="H490">
        <v>42</v>
      </c>
      <c r="I490">
        <v>37277.230000000003</v>
      </c>
      <c r="J490">
        <v>0</v>
      </c>
      <c r="K490">
        <v>0</v>
      </c>
      <c r="L490">
        <v>2024</v>
      </c>
    </row>
    <row r="491" spans="1:12" x14ac:dyDescent="0.25">
      <c r="A491" s="1" t="s">
        <v>526</v>
      </c>
      <c r="B491" s="1" t="s">
        <v>15</v>
      </c>
      <c r="C491">
        <v>106</v>
      </c>
      <c r="D491" s="1" t="s">
        <v>25</v>
      </c>
      <c r="E491">
        <v>87202.25</v>
      </c>
      <c r="F491">
        <v>63058.66</v>
      </c>
      <c r="G491">
        <v>10</v>
      </c>
      <c r="H491">
        <v>4</v>
      </c>
      <c r="I491">
        <v>73621.05</v>
      </c>
      <c r="J491">
        <v>930.19</v>
      </c>
      <c r="K491">
        <v>0</v>
      </c>
      <c r="L491">
        <v>2024</v>
      </c>
    </row>
    <row r="492" spans="1:12" x14ac:dyDescent="0.25">
      <c r="A492" s="1" t="s">
        <v>527</v>
      </c>
      <c r="B492" s="1" t="s">
        <v>14</v>
      </c>
      <c r="C492">
        <v>117</v>
      </c>
      <c r="D492" s="1" t="s">
        <v>25</v>
      </c>
      <c r="E492">
        <v>99922.19</v>
      </c>
      <c r="F492">
        <v>63220.71</v>
      </c>
      <c r="G492">
        <v>16</v>
      </c>
      <c r="H492">
        <v>20</v>
      </c>
      <c r="I492">
        <v>73186.539999999994</v>
      </c>
      <c r="J492">
        <v>6752.82</v>
      </c>
      <c r="K492">
        <v>0</v>
      </c>
      <c r="L492">
        <v>2024</v>
      </c>
    </row>
    <row r="493" spans="1:12" x14ac:dyDescent="0.25">
      <c r="A493" s="1" t="s">
        <v>528</v>
      </c>
      <c r="B493" s="1" t="s">
        <v>14</v>
      </c>
      <c r="C493">
        <v>91</v>
      </c>
      <c r="D493" s="1" t="s">
        <v>25</v>
      </c>
      <c r="E493">
        <v>88696.76</v>
      </c>
      <c r="F493">
        <v>56509.279999999999</v>
      </c>
      <c r="G493">
        <v>16</v>
      </c>
      <c r="H493">
        <v>32</v>
      </c>
      <c r="I493">
        <v>68843.34</v>
      </c>
      <c r="J493">
        <v>41.6</v>
      </c>
      <c r="K493">
        <v>0</v>
      </c>
      <c r="L493">
        <v>2024</v>
      </c>
    </row>
    <row r="494" spans="1:12" x14ac:dyDescent="0.25">
      <c r="A494" s="1" t="s">
        <v>529</v>
      </c>
      <c r="B494" s="1" t="s">
        <v>15</v>
      </c>
      <c r="C494">
        <v>94</v>
      </c>
      <c r="D494" s="1" t="s">
        <v>25</v>
      </c>
      <c r="E494">
        <v>87087.96</v>
      </c>
      <c r="F494">
        <v>84273.76</v>
      </c>
      <c r="G494">
        <v>35</v>
      </c>
      <c r="H494">
        <v>0</v>
      </c>
      <c r="I494">
        <v>40583.129999999997</v>
      </c>
      <c r="J494">
        <v>7142.06</v>
      </c>
      <c r="K494">
        <v>0</v>
      </c>
      <c r="L494">
        <v>2024</v>
      </c>
    </row>
    <row r="495" spans="1:12" x14ac:dyDescent="0.25">
      <c r="A495" s="1" t="s">
        <v>530</v>
      </c>
      <c r="B495" s="1" t="s">
        <v>18</v>
      </c>
      <c r="C495">
        <v>70</v>
      </c>
      <c r="D495" s="1" t="s">
        <v>25</v>
      </c>
      <c r="E495">
        <v>54893.88</v>
      </c>
      <c r="F495">
        <v>51387.05</v>
      </c>
      <c r="G495">
        <v>12</v>
      </c>
      <c r="H495">
        <v>22</v>
      </c>
      <c r="I495">
        <v>36399.629999999997</v>
      </c>
      <c r="J495">
        <v>5156.17</v>
      </c>
      <c r="K495">
        <v>0</v>
      </c>
      <c r="L495">
        <v>2024</v>
      </c>
    </row>
    <row r="496" spans="1:12" x14ac:dyDescent="0.25">
      <c r="A496" s="1" t="s">
        <v>531</v>
      </c>
      <c r="B496" s="1" t="s">
        <v>17</v>
      </c>
      <c r="C496">
        <v>79</v>
      </c>
      <c r="D496" s="1" t="s">
        <v>25</v>
      </c>
      <c r="E496">
        <v>68262.37</v>
      </c>
      <c r="F496">
        <v>71847.850000000006</v>
      </c>
      <c r="G496">
        <v>29</v>
      </c>
      <c r="H496">
        <v>10</v>
      </c>
      <c r="I496">
        <v>12971.19</v>
      </c>
      <c r="J496">
        <v>10772.33</v>
      </c>
      <c r="K496">
        <v>0</v>
      </c>
      <c r="L496">
        <v>2024</v>
      </c>
    </row>
    <row r="497" spans="1:12" x14ac:dyDescent="0.25">
      <c r="A497" s="1" t="s">
        <v>532</v>
      </c>
      <c r="B497" s="1" t="s">
        <v>14</v>
      </c>
      <c r="C497">
        <v>4</v>
      </c>
      <c r="D497" s="1" t="s">
        <v>25</v>
      </c>
      <c r="E497">
        <v>8641.42</v>
      </c>
      <c r="F497">
        <v>8239.1299999999992</v>
      </c>
      <c r="G497">
        <v>10</v>
      </c>
      <c r="H497">
        <v>18</v>
      </c>
      <c r="I497">
        <v>32938.94</v>
      </c>
      <c r="J497">
        <v>205.65</v>
      </c>
      <c r="K497">
        <v>0</v>
      </c>
      <c r="L497">
        <v>2024</v>
      </c>
    </row>
    <row r="498" spans="1:12" x14ac:dyDescent="0.25">
      <c r="A498" s="1" t="s">
        <v>533</v>
      </c>
      <c r="B498" s="1" t="s">
        <v>14</v>
      </c>
      <c r="C498">
        <v>55</v>
      </c>
      <c r="D498" s="1" t="s">
        <v>25</v>
      </c>
      <c r="E498">
        <v>40229.42</v>
      </c>
      <c r="F498">
        <v>30426.19</v>
      </c>
      <c r="G498">
        <v>54</v>
      </c>
      <c r="H498">
        <v>0</v>
      </c>
      <c r="I498">
        <v>23181.040000000001</v>
      </c>
      <c r="J498">
        <v>3428.67</v>
      </c>
      <c r="K498">
        <v>0</v>
      </c>
      <c r="L498">
        <v>2024</v>
      </c>
    </row>
    <row r="499" spans="1:12" x14ac:dyDescent="0.25">
      <c r="A499" s="1" t="s">
        <v>534</v>
      </c>
      <c r="B499" s="1" t="s">
        <v>14</v>
      </c>
      <c r="C499">
        <v>98</v>
      </c>
      <c r="D499" s="1" t="s">
        <v>25</v>
      </c>
      <c r="E499">
        <v>57413.65</v>
      </c>
      <c r="F499">
        <v>46834.55</v>
      </c>
      <c r="G499">
        <v>33</v>
      </c>
      <c r="H499">
        <v>1</v>
      </c>
      <c r="I499">
        <v>53810.69</v>
      </c>
      <c r="J499">
        <v>5610.61</v>
      </c>
      <c r="K499">
        <v>0</v>
      </c>
      <c r="L499">
        <v>2024</v>
      </c>
    </row>
    <row r="500" spans="1:12" x14ac:dyDescent="0.25">
      <c r="A500" s="1" t="s">
        <v>535</v>
      </c>
      <c r="B500" s="1" t="s">
        <v>14</v>
      </c>
      <c r="C500">
        <v>28</v>
      </c>
      <c r="D500" s="1" t="s">
        <v>25</v>
      </c>
      <c r="E500">
        <v>27066.41</v>
      </c>
      <c r="F500">
        <v>18838.509999999998</v>
      </c>
      <c r="G500">
        <v>10</v>
      </c>
      <c r="H500">
        <v>24</v>
      </c>
      <c r="I500">
        <v>34817.07</v>
      </c>
      <c r="J500">
        <v>4958.63</v>
      </c>
      <c r="K500">
        <v>0</v>
      </c>
      <c r="L500">
        <v>2024</v>
      </c>
    </row>
    <row r="501" spans="1:12" x14ac:dyDescent="0.25">
      <c r="A501" s="1" t="s">
        <v>536</v>
      </c>
      <c r="B501" s="1" t="s">
        <v>14</v>
      </c>
      <c r="C501">
        <v>58</v>
      </c>
      <c r="D501" s="1" t="s">
        <v>25</v>
      </c>
      <c r="E501">
        <v>45369.53</v>
      </c>
      <c r="F501">
        <v>33258.629999999997</v>
      </c>
      <c r="G501">
        <v>39</v>
      </c>
      <c r="H501">
        <v>48</v>
      </c>
      <c r="I501">
        <v>9586.7000000000007</v>
      </c>
      <c r="J501">
        <v>0</v>
      </c>
      <c r="K501">
        <v>0</v>
      </c>
      <c r="L501">
        <v>2024</v>
      </c>
    </row>
    <row r="502" spans="1:12" x14ac:dyDescent="0.25">
      <c r="A502" s="1" t="s">
        <v>537</v>
      </c>
      <c r="B502" s="1" t="s">
        <v>15</v>
      </c>
      <c r="C502">
        <v>102</v>
      </c>
      <c r="D502" s="1" t="s">
        <v>25</v>
      </c>
      <c r="E502">
        <v>77330.28</v>
      </c>
      <c r="F502">
        <v>68570.63</v>
      </c>
      <c r="G502">
        <v>49</v>
      </c>
      <c r="H502">
        <v>30</v>
      </c>
      <c r="I502">
        <v>55045.36</v>
      </c>
      <c r="J502">
        <v>0</v>
      </c>
      <c r="K502">
        <v>0</v>
      </c>
      <c r="L502">
        <v>2024</v>
      </c>
    </row>
    <row r="503" spans="1:12" x14ac:dyDescent="0.25">
      <c r="A503" s="1" t="s">
        <v>538</v>
      </c>
      <c r="B503" s="1" t="s">
        <v>14</v>
      </c>
      <c r="C503">
        <v>29</v>
      </c>
      <c r="D503" s="1" t="s">
        <v>25</v>
      </c>
      <c r="E503">
        <v>35784.839999999997</v>
      </c>
      <c r="F503">
        <v>25154.68</v>
      </c>
      <c r="G503">
        <v>62</v>
      </c>
      <c r="H503">
        <v>31</v>
      </c>
      <c r="I503">
        <v>69902.97</v>
      </c>
      <c r="J503">
        <v>6657.02</v>
      </c>
      <c r="K503">
        <v>0</v>
      </c>
      <c r="L503">
        <v>2024</v>
      </c>
    </row>
    <row r="504" spans="1:12" x14ac:dyDescent="0.25">
      <c r="A504" s="1" t="s">
        <v>539</v>
      </c>
      <c r="B504" s="1" t="s">
        <v>17</v>
      </c>
      <c r="C504">
        <v>44</v>
      </c>
      <c r="D504" s="1" t="s">
        <v>25</v>
      </c>
      <c r="E504">
        <v>46663.73</v>
      </c>
      <c r="F504">
        <v>39482.57</v>
      </c>
      <c r="G504">
        <v>45</v>
      </c>
      <c r="H504">
        <v>47</v>
      </c>
      <c r="I504">
        <v>42037.75</v>
      </c>
      <c r="J504">
        <v>8523.7999999999993</v>
      </c>
      <c r="K504">
        <v>0</v>
      </c>
      <c r="L504">
        <v>2024</v>
      </c>
    </row>
    <row r="505" spans="1:12" x14ac:dyDescent="0.25">
      <c r="A505" s="1" t="s">
        <v>540</v>
      </c>
      <c r="B505" s="1" t="s">
        <v>12</v>
      </c>
      <c r="C505">
        <v>114</v>
      </c>
      <c r="D505" s="1" t="s">
        <v>25</v>
      </c>
      <c r="E505">
        <v>101233.13</v>
      </c>
      <c r="F505">
        <v>85106.85</v>
      </c>
      <c r="G505">
        <v>48</v>
      </c>
      <c r="H505">
        <v>65</v>
      </c>
      <c r="I505">
        <v>42063.85</v>
      </c>
      <c r="J505">
        <v>6245.94</v>
      </c>
      <c r="K505">
        <v>0</v>
      </c>
      <c r="L505">
        <v>2024</v>
      </c>
    </row>
    <row r="506" spans="1:12" x14ac:dyDescent="0.25">
      <c r="A506" s="1" t="s">
        <v>541</v>
      </c>
      <c r="B506" s="1" t="s">
        <v>17</v>
      </c>
      <c r="C506">
        <v>26</v>
      </c>
      <c r="D506" s="1" t="s">
        <v>25</v>
      </c>
      <c r="E506">
        <v>35388.86</v>
      </c>
      <c r="F506">
        <v>23020.63</v>
      </c>
      <c r="G506">
        <v>33</v>
      </c>
      <c r="H506">
        <v>23</v>
      </c>
      <c r="I506">
        <v>99037.88</v>
      </c>
      <c r="J506">
        <v>2421.19</v>
      </c>
      <c r="K506">
        <v>0</v>
      </c>
      <c r="L506">
        <v>2024</v>
      </c>
    </row>
    <row r="507" spans="1:12" x14ac:dyDescent="0.25">
      <c r="A507" s="1" t="s">
        <v>542</v>
      </c>
      <c r="B507" s="1" t="s">
        <v>16</v>
      </c>
      <c r="C507">
        <v>64</v>
      </c>
      <c r="D507" s="1" t="s">
        <v>25</v>
      </c>
      <c r="E507">
        <v>38327.06</v>
      </c>
      <c r="F507">
        <v>38566.660000000003</v>
      </c>
      <c r="G507">
        <v>59</v>
      </c>
      <c r="H507">
        <v>15</v>
      </c>
      <c r="I507">
        <v>30586.38</v>
      </c>
      <c r="J507">
        <v>0</v>
      </c>
      <c r="K507">
        <v>0</v>
      </c>
      <c r="L507">
        <v>2024</v>
      </c>
    </row>
    <row r="508" spans="1:12" x14ac:dyDescent="0.25">
      <c r="A508" s="1" t="s">
        <v>543</v>
      </c>
      <c r="B508" s="1" t="s">
        <v>15</v>
      </c>
      <c r="C508">
        <v>54</v>
      </c>
      <c r="D508" s="1" t="s">
        <v>25</v>
      </c>
      <c r="E508">
        <v>57362.51</v>
      </c>
      <c r="F508">
        <v>56680.92</v>
      </c>
      <c r="G508">
        <v>17</v>
      </c>
      <c r="H508">
        <v>32</v>
      </c>
      <c r="I508">
        <v>21162</v>
      </c>
      <c r="J508">
        <v>0</v>
      </c>
      <c r="K508">
        <v>0</v>
      </c>
      <c r="L508">
        <v>2024</v>
      </c>
    </row>
    <row r="509" spans="1:12" x14ac:dyDescent="0.25">
      <c r="A509" s="1" t="s">
        <v>544</v>
      </c>
      <c r="B509" s="1" t="s">
        <v>14</v>
      </c>
      <c r="C509">
        <v>19</v>
      </c>
      <c r="D509" s="1" t="s">
        <v>25</v>
      </c>
      <c r="E509">
        <v>22402.22</v>
      </c>
      <c r="F509">
        <v>18750.900000000001</v>
      </c>
      <c r="G509">
        <v>56</v>
      </c>
      <c r="H509">
        <v>43</v>
      </c>
      <c r="I509">
        <v>51536.07</v>
      </c>
      <c r="J509">
        <v>13621.75</v>
      </c>
      <c r="K509">
        <v>0</v>
      </c>
      <c r="L509">
        <v>2024</v>
      </c>
    </row>
    <row r="510" spans="1:12" x14ac:dyDescent="0.25">
      <c r="A510" s="1" t="s">
        <v>545</v>
      </c>
      <c r="B510" s="1" t="s">
        <v>18</v>
      </c>
      <c r="C510">
        <v>70</v>
      </c>
      <c r="D510" s="1" t="s">
        <v>25</v>
      </c>
      <c r="E510">
        <v>61001.49</v>
      </c>
      <c r="F510">
        <v>40618.26</v>
      </c>
      <c r="G510">
        <v>42</v>
      </c>
      <c r="H510">
        <v>28</v>
      </c>
      <c r="I510">
        <v>5120.68</v>
      </c>
      <c r="J510">
        <v>5416.55</v>
      </c>
      <c r="K510">
        <v>0</v>
      </c>
      <c r="L510">
        <v>2024</v>
      </c>
    </row>
    <row r="511" spans="1:12" x14ac:dyDescent="0.25">
      <c r="A511" s="1" t="s">
        <v>546</v>
      </c>
      <c r="B511" s="1" t="s">
        <v>16</v>
      </c>
      <c r="C511">
        <v>120</v>
      </c>
      <c r="D511" s="1" t="s">
        <v>25</v>
      </c>
      <c r="E511">
        <v>113218.23</v>
      </c>
      <c r="F511">
        <v>68837.740000000005</v>
      </c>
      <c r="G511">
        <v>32</v>
      </c>
      <c r="H511">
        <v>1</v>
      </c>
      <c r="I511">
        <v>50045.8</v>
      </c>
      <c r="J511">
        <v>850.75</v>
      </c>
      <c r="K511">
        <v>0</v>
      </c>
      <c r="L511">
        <v>2024</v>
      </c>
    </row>
    <row r="512" spans="1:12" x14ac:dyDescent="0.25">
      <c r="A512" s="1" t="s">
        <v>547</v>
      </c>
      <c r="B512" s="1" t="s">
        <v>12</v>
      </c>
      <c r="C512">
        <v>58</v>
      </c>
      <c r="D512" s="1" t="s">
        <v>25</v>
      </c>
      <c r="E512">
        <v>39591.620000000003</v>
      </c>
      <c r="F512">
        <v>30231.9</v>
      </c>
      <c r="G512">
        <v>37</v>
      </c>
      <c r="H512">
        <v>33</v>
      </c>
      <c r="I512">
        <v>9288.18</v>
      </c>
      <c r="J512">
        <v>0</v>
      </c>
      <c r="K512">
        <v>0</v>
      </c>
      <c r="L512">
        <v>2024</v>
      </c>
    </row>
    <row r="513" spans="1:12" x14ac:dyDescent="0.25">
      <c r="A513" s="1" t="s">
        <v>548</v>
      </c>
      <c r="B513" s="1" t="s">
        <v>18</v>
      </c>
      <c r="C513">
        <v>6</v>
      </c>
      <c r="D513" s="1" t="s">
        <v>25</v>
      </c>
      <c r="E513">
        <v>9862.5300000000007</v>
      </c>
      <c r="F513">
        <v>10279.969999999999</v>
      </c>
      <c r="G513">
        <v>57</v>
      </c>
      <c r="H513">
        <v>16</v>
      </c>
      <c r="I513">
        <v>11831.85</v>
      </c>
      <c r="J513">
        <v>3832.36</v>
      </c>
      <c r="K513">
        <v>0</v>
      </c>
      <c r="L513">
        <v>2024</v>
      </c>
    </row>
    <row r="514" spans="1:12" x14ac:dyDescent="0.25">
      <c r="A514" s="1" t="s">
        <v>549</v>
      </c>
      <c r="B514" s="1" t="s">
        <v>12</v>
      </c>
      <c r="C514">
        <v>31</v>
      </c>
      <c r="D514" s="1" t="s">
        <v>25</v>
      </c>
      <c r="E514">
        <v>30072.87</v>
      </c>
      <c r="F514">
        <v>18964.8</v>
      </c>
      <c r="G514">
        <v>42</v>
      </c>
      <c r="H514">
        <v>37</v>
      </c>
      <c r="I514">
        <v>32076.31</v>
      </c>
      <c r="J514">
        <v>5092.78</v>
      </c>
      <c r="K514">
        <v>0</v>
      </c>
      <c r="L514">
        <v>2024</v>
      </c>
    </row>
    <row r="515" spans="1:12" x14ac:dyDescent="0.25">
      <c r="A515" s="1" t="s">
        <v>550</v>
      </c>
      <c r="B515" s="1" t="s">
        <v>16</v>
      </c>
      <c r="C515">
        <v>77</v>
      </c>
      <c r="D515" s="1" t="s">
        <v>25</v>
      </c>
      <c r="E515">
        <v>62286.34</v>
      </c>
      <c r="F515">
        <v>52290.879999999997</v>
      </c>
      <c r="G515">
        <v>69</v>
      </c>
      <c r="H515">
        <v>37</v>
      </c>
      <c r="I515">
        <v>0</v>
      </c>
      <c r="J515">
        <v>3558.59</v>
      </c>
      <c r="K515">
        <v>0</v>
      </c>
      <c r="L515">
        <v>2024</v>
      </c>
    </row>
    <row r="516" spans="1:12" x14ac:dyDescent="0.25">
      <c r="A516" s="1" t="s">
        <v>26</v>
      </c>
      <c r="B516" s="1" t="s">
        <v>15</v>
      </c>
      <c r="C516">
        <v>11</v>
      </c>
      <c r="D516" s="1" t="s">
        <v>25</v>
      </c>
      <c r="E516">
        <v>11932.76</v>
      </c>
      <c r="F516">
        <v>8338.7099999999991</v>
      </c>
      <c r="G516">
        <v>41</v>
      </c>
      <c r="H516">
        <v>34</v>
      </c>
      <c r="I516">
        <v>64482.94</v>
      </c>
      <c r="J516">
        <v>0</v>
      </c>
      <c r="K516">
        <v>0</v>
      </c>
      <c r="L516">
        <v>2024</v>
      </c>
    </row>
    <row r="517" spans="1:12" x14ac:dyDescent="0.25">
      <c r="A517" s="1" t="s">
        <v>551</v>
      </c>
      <c r="B517" s="1" t="s">
        <v>12</v>
      </c>
      <c r="C517">
        <v>108</v>
      </c>
      <c r="D517" s="1" t="s">
        <v>25</v>
      </c>
      <c r="E517">
        <v>90169.04</v>
      </c>
      <c r="F517">
        <v>87918.94</v>
      </c>
      <c r="G517">
        <v>17</v>
      </c>
      <c r="H517">
        <v>3</v>
      </c>
      <c r="I517">
        <v>20197.97</v>
      </c>
      <c r="J517">
        <v>0</v>
      </c>
      <c r="K517">
        <v>0</v>
      </c>
      <c r="L517">
        <v>2024</v>
      </c>
    </row>
    <row r="518" spans="1:12" x14ac:dyDescent="0.25">
      <c r="A518" s="1" t="s">
        <v>552</v>
      </c>
      <c r="B518" s="1" t="s">
        <v>17</v>
      </c>
      <c r="C518">
        <v>20</v>
      </c>
      <c r="D518" s="1" t="s">
        <v>25</v>
      </c>
      <c r="E518">
        <v>23541.89</v>
      </c>
      <c r="F518">
        <v>19755.73</v>
      </c>
      <c r="G518">
        <v>49</v>
      </c>
      <c r="H518">
        <v>52</v>
      </c>
      <c r="I518">
        <v>47161.27</v>
      </c>
      <c r="J518">
        <v>6900.38</v>
      </c>
      <c r="K518">
        <v>1</v>
      </c>
      <c r="L518">
        <v>2024</v>
      </c>
    </row>
    <row r="519" spans="1:12" x14ac:dyDescent="0.25">
      <c r="A519" s="1" t="s">
        <v>553</v>
      </c>
      <c r="B519" s="1" t="s">
        <v>14</v>
      </c>
      <c r="C519">
        <v>82</v>
      </c>
      <c r="D519" s="1" t="s">
        <v>25</v>
      </c>
      <c r="E519">
        <v>89307.39</v>
      </c>
      <c r="F519">
        <v>59057.14</v>
      </c>
      <c r="G519">
        <v>30</v>
      </c>
      <c r="H519">
        <v>33</v>
      </c>
      <c r="I519">
        <v>0</v>
      </c>
      <c r="J519">
        <v>0</v>
      </c>
      <c r="K519">
        <v>0</v>
      </c>
      <c r="L519">
        <v>2024</v>
      </c>
    </row>
    <row r="520" spans="1:12" x14ac:dyDescent="0.25">
      <c r="A520" s="1" t="s">
        <v>554</v>
      </c>
      <c r="B520" s="1" t="s">
        <v>16</v>
      </c>
      <c r="C520">
        <v>106</v>
      </c>
      <c r="D520" s="1" t="s">
        <v>25</v>
      </c>
      <c r="E520">
        <v>87035.72</v>
      </c>
      <c r="F520">
        <v>85755.43</v>
      </c>
      <c r="G520">
        <v>31</v>
      </c>
      <c r="H520">
        <v>36</v>
      </c>
      <c r="I520">
        <v>26202.49</v>
      </c>
      <c r="J520">
        <v>3081.64</v>
      </c>
      <c r="K520">
        <v>0</v>
      </c>
      <c r="L520">
        <v>2024</v>
      </c>
    </row>
    <row r="521" spans="1:12" x14ac:dyDescent="0.25">
      <c r="A521" s="1" t="s">
        <v>555</v>
      </c>
      <c r="B521" s="1" t="s">
        <v>17</v>
      </c>
      <c r="C521">
        <v>41</v>
      </c>
      <c r="D521" s="1" t="s">
        <v>25</v>
      </c>
      <c r="E521">
        <v>42882.29</v>
      </c>
      <c r="F521">
        <v>45148.92</v>
      </c>
      <c r="G521">
        <v>58</v>
      </c>
      <c r="H521">
        <v>29</v>
      </c>
      <c r="I521">
        <v>0</v>
      </c>
      <c r="J521">
        <v>7891.97</v>
      </c>
      <c r="K521">
        <v>0</v>
      </c>
      <c r="L521">
        <v>2024</v>
      </c>
    </row>
    <row r="522" spans="1:12" x14ac:dyDescent="0.25">
      <c r="A522" s="1" t="s">
        <v>556</v>
      </c>
      <c r="B522" s="1" t="s">
        <v>17</v>
      </c>
      <c r="C522">
        <v>35</v>
      </c>
      <c r="D522" s="1" t="s">
        <v>25</v>
      </c>
      <c r="E522">
        <v>30732.63</v>
      </c>
      <c r="F522">
        <v>20193.97</v>
      </c>
      <c r="G522">
        <v>40</v>
      </c>
      <c r="H522">
        <v>8</v>
      </c>
      <c r="I522">
        <v>56223.16</v>
      </c>
      <c r="J522">
        <v>0</v>
      </c>
      <c r="K522">
        <v>1</v>
      </c>
      <c r="L522">
        <v>2024</v>
      </c>
    </row>
    <row r="523" spans="1:12" x14ac:dyDescent="0.25">
      <c r="A523" s="1" t="s">
        <v>557</v>
      </c>
      <c r="B523" s="1" t="s">
        <v>15</v>
      </c>
      <c r="C523">
        <v>96</v>
      </c>
      <c r="D523" s="1" t="s">
        <v>25</v>
      </c>
      <c r="E523">
        <v>80985.62</v>
      </c>
      <c r="F523">
        <v>47250.91</v>
      </c>
      <c r="G523">
        <v>23</v>
      </c>
      <c r="H523">
        <v>32</v>
      </c>
      <c r="I523">
        <v>0</v>
      </c>
      <c r="J523">
        <v>8222.77</v>
      </c>
      <c r="K523">
        <v>0</v>
      </c>
      <c r="L523">
        <v>2024</v>
      </c>
    </row>
    <row r="524" spans="1:12" x14ac:dyDescent="0.25">
      <c r="A524" s="1" t="s">
        <v>558</v>
      </c>
      <c r="B524" s="1" t="s">
        <v>15</v>
      </c>
      <c r="C524">
        <v>55</v>
      </c>
      <c r="D524" s="1" t="s">
        <v>25</v>
      </c>
      <c r="E524">
        <v>48866.46</v>
      </c>
      <c r="F524">
        <v>44716.07</v>
      </c>
      <c r="G524">
        <v>20</v>
      </c>
      <c r="H524">
        <v>53</v>
      </c>
      <c r="I524">
        <v>48738.32</v>
      </c>
      <c r="J524">
        <v>4915.63</v>
      </c>
      <c r="K524">
        <v>0</v>
      </c>
      <c r="L524">
        <v>2024</v>
      </c>
    </row>
    <row r="525" spans="1:12" x14ac:dyDescent="0.25">
      <c r="A525" s="1" t="s">
        <v>559</v>
      </c>
      <c r="B525" s="1" t="s">
        <v>18</v>
      </c>
      <c r="C525">
        <v>59</v>
      </c>
      <c r="D525" s="1" t="s">
        <v>25</v>
      </c>
      <c r="E525">
        <v>42360.49</v>
      </c>
      <c r="F525">
        <v>45175</v>
      </c>
      <c r="G525">
        <v>26</v>
      </c>
      <c r="H525">
        <v>11</v>
      </c>
      <c r="I525">
        <v>57337.86</v>
      </c>
      <c r="J525">
        <v>3775.4</v>
      </c>
      <c r="K525">
        <v>0</v>
      </c>
      <c r="L525">
        <v>2024</v>
      </c>
    </row>
    <row r="526" spans="1:12" x14ac:dyDescent="0.25">
      <c r="A526" s="1" t="s">
        <v>560</v>
      </c>
      <c r="B526" s="1" t="s">
        <v>16</v>
      </c>
      <c r="C526">
        <v>3</v>
      </c>
      <c r="D526" s="1" t="s">
        <v>25</v>
      </c>
      <c r="E526">
        <v>8263.25</v>
      </c>
      <c r="F526">
        <v>6126.05</v>
      </c>
      <c r="G526">
        <v>31</v>
      </c>
      <c r="H526">
        <v>32</v>
      </c>
      <c r="I526">
        <v>99256.87</v>
      </c>
      <c r="J526">
        <v>7026.51</v>
      </c>
      <c r="K526">
        <v>0</v>
      </c>
      <c r="L526">
        <v>2024</v>
      </c>
    </row>
    <row r="527" spans="1:12" x14ac:dyDescent="0.25">
      <c r="A527" s="1" t="s">
        <v>561</v>
      </c>
      <c r="B527" s="1" t="s">
        <v>16</v>
      </c>
      <c r="C527">
        <v>117</v>
      </c>
      <c r="D527" s="1" t="s">
        <v>25</v>
      </c>
      <c r="E527">
        <v>100575.02</v>
      </c>
      <c r="F527">
        <v>66115.839999999997</v>
      </c>
      <c r="G527">
        <v>51</v>
      </c>
      <c r="H527">
        <v>55</v>
      </c>
      <c r="I527">
        <v>2754.17</v>
      </c>
      <c r="J527">
        <v>5189.47</v>
      </c>
      <c r="K527">
        <v>0</v>
      </c>
      <c r="L527">
        <v>2024</v>
      </c>
    </row>
    <row r="528" spans="1:12" x14ac:dyDescent="0.25">
      <c r="A528" s="1" t="s">
        <v>562</v>
      </c>
      <c r="B528" s="1" t="s">
        <v>15</v>
      </c>
      <c r="C528">
        <v>103</v>
      </c>
      <c r="D528" s="1" t="s">
        <v>25</v>
      </c>
      <c r="E528">
        <v>77969.77</v>
      </c>
      <c r="F528">
        <v>50803.839999999997</v>
      </c>
      <c r="G528">
        <v>51</v>
      </c>
      <c r="H528">
        <v>5</v>
      </c>
      <c r="I528">
        <v>32727.51</v>
      </c>
      <c r="J528">
        <v>774.89</v>
      </c>
      <c r="K528">
        <v>0</v>
      </c>
      <c r="L528">
        <v>2024</v>
      </c>
    </row>
    <row r="529" spans="1:12" x14ac:dyDescent="0.25">
      <c r="A529" s="1" t="s">
        <v>563</v>
      </c>
      <c r="B529" s="1" t="s">
        <v>18</v>
      </c>
      <c r="C529">
        <v>64</v>
      </c>
      <c r="D529" s="1" t="s">
        <v>25</v>
      </c>
      <c r="E529">
        <v>56517.03</v>
      </c>
      <c r="F529">
        <v>48318.11</v>
      </c>
      <c r="G529">
        <v>45</v>
      </c>
      <c r="H529">
        <v>40</v>
      </c>
      <c r="I529">
        <v>19443.14</v>
      </c>
      <c r="J529">
        <v>0</v>
      </c>
      <c r="K529">
        <v>1</v>
      </c>
      <c r="L529">
        <v>2024</v>
      </c>
    </row>
    <row r="530" spans="1:12" x14ac:dyDescent="0.25">
      <c r="A530" s="1" t="s">
        <v>564</v>
      </c>
      <c r="B530" s="1" t="s">
        <v>14</v>
      </c>
      <c r="C530">
        <v>27</v>
      </c>
      <c r="D530" s="1" t="s">
        <v>25</v>
      </c>
      <c r="E530">
        <v>21335.93</v>
      </c>
      <c r="F530">
        <v>20361.919999999998</v>
      </c>
      <c r="G530">
        <v>25</v>
      </c>
      <c r="H530">
        <v>21</v>
      </c>
      <c r="I530">
        <v>61781.29</v>
      </c>
      <c r="J530">
        <v>0</v>
      </c>
      <c r="K530">
        <v>1</v>
      </c>
      <c r="L530">
        <v>2024</v>
      </c>
    </row>
    <row r="531" spans="1:12" x14ac:dyDescent="0.25">
      <c r="A531" s="1" t="s">
        <v>565</v>
      </c>
      <c r="B531" s="1" t="s">
        <v>16</v>
      </c>
      <c r="C531">
        <v>43</v>
      </c>
      <c r="D531" s="1" t="s">
        <v>25</v>
      </c>
      <c r="E531">
        <v>34739.33</v>
      </c>
      <c r="F531">
        <v>35281.019999999997</v>
      </c>
      <c r="G531">
        <v>33</v>
      </c>
      <c r="H531">
        <v>9</v>
      </c>
      <c r="I531">
        <v>47089.02</v>
      </c>
      <c r="J531">
        <v>3481.21</v>
      </c>
      <c r="K531">
        <v>0</v>
      </c>
      <c r="L531">
        <v>2024</v>
      </c>
    </row>
    <row r="532" spans="1:12" x14ac:dyDescent="0.25">
      <c r="A532" s="1" t="s">
        <v>27</v>
      </c>
      <c r="B532" s="1" t="s">
        <v>18</v>
      </c>
      <c r="C532">
        <v>45</v>
      </c>
      <c r="D532" s="1" t="s">
        <v>25</v>
      </c>
      <c r="E532">
        <v>45418.879999999997</v>
      </c>
      <c r="F532">
        <v>40867.879999999997</v>
      </c>
      <c r="G532">
        <v>31</v>
      </c>
      <c r="H532">
        <v>18</v>
      </c>
      <c r="I532">
        <v>44559.65</v>
      </c>
      <c r="J532">
        <v>5861.23</v>
      </c>
      <c r="K532">
        <v>0</v>
      </c>
      <c r="L532">
        <v>2024</v>
      </c>
    </row>
    <row r="533" spans="1:12" x14ac:dyDescent="0.25">
      <c r="A533" s="1" t="s">
        <v>566</v>
      </c>
      <c r="B533" s="1" t="s">
        <v>12</v>
      </c>
      <c r="C533">
        <v>47</v>
      </c>
      <c r="D533" s="1" t="s">
        <v>25</v>
      </c>
      <c r="E533">
        <v>46241.279999999999</v>
      </c>
      <c r="F533">
        <v>48650.99</v>
      </c>
      <c r="G533">
        <v>45</v>
      </c>
      <c r="H533">
        <v>25</v>
      </c>
      <c r="I533">
        <v>57948.97</v>
      </c>
      <c r="J533">
        <v>5275.98</v>
      </c>
      <c r="K533">
        <v>0</v>
      </c>
      <c r="L533">
        <v>2024</v>
      </c>
    </row>
    <row r="534" spans="1:12" x14ac:dyDescent="0.25">
      <c r="A534" s="1" t="s">
        <v>567</v>
      </c>
      <c r="B534" s="1" t="s">
        <v>18</v>
      </c>
      <c r="C534">
        <v>65</v>
      </c>
      <c r="D534" s="1" t="s">
        <v>25</v>
      </c>
      <c r="E534">
        <v>54148.06</v>
      </c>
      <c r="F534">
        <v>39391.620000000003</v>
      </c>
      <c r="G534">
        <v>48</v>
      </c>
      <c r="H534">
        <v>37</v>
      </c>
      <c r="I534">
        <v>45477.05</v>
      </c>
      <c r="J534">
        <v>9234.09</v>
      </c>
      <c r="K534">
        <v>0</v>
      </c>
      <c r="L534">
        <v>2024</v>
      </c>
    </row>
    <row r="535" spans="1:12" x14ac:dyDescent="0.25">
      <c r="A535" s="1" t="s">
        <v>568</v>
      </c>
      <c r="B535" s="1" t="s">
        <v>12</v>
      </c>
      <c r="C535">
        <v>55</v>
      </c>
      <c r="D535" s="1" t="s">
        <v>25</v>
      </c>
      <c r="E535">
        <v>62166.51</v>
      </c>
      <c r="F535">
        <v>58280.6</v>
      </c>
      <c r="G535">
        <v>24</v>
      </c>
      <c r="H535">
        <v>27</v>
      </c>
      <c r="I535">
        <v>88194.53</v>
      </c>
      <c r="J535">
        <v>6555.82</v>
      </c>
      <c r="K535">
        <v>0</v>
      </c>
      <c r="L535">
        <v>2024</v>
      </c>
    </row>
    <row r="536" spans="1:12" x14ac:dyDescent="0.25">
      <c r="A536" s="1" t="s">
        <v>569</v>
      </c>
      <c r="B536" s="1" t="s">
        <v>12</v>
      </c>
      <c r="C536">
        <v>78</v>
      </c>
      <c r="D536" s="1" t="s">
        <v>25</v>
      </c>
      <c r="E536">
        <v>54929.24</v>
      </c>
      <c r="F536">
        <v>35285.160000000003</v>
      </c>
      <c r="G536">
        <v>49</v>
      </c>
      <c r="H536">
        <v>42</v>
      </c>
      <c r="I536">
        <v>40572.17</v>
      </c>
      <c r="J536">
        <v>0</v>
      </c>
      <c r="K536">
        <v>0</v>
      </c>
      <c r="L536">
        <v>2024</v>
      </c>
    </row>
    <row r="537" spans="1:12" x14ac:dyDescent="0.25">
      <c r="A537" s="1" t="s">
        <v>570</v>
      </c>
      <c r="B537" s="1" t="s">
        <v>18</v>
      </c>
      <c r="C537">
        <v>111</v>
      </c>
      <c r="D537" s="1" t="s">
        <v>25</v>
      </c>
      <c r="E537">
        <v>101165.75</v>
      </c>
      <c r="F537">
        <v>76141.64</v>
      </c>
      <c r="G537">
        <v>27</v>
      </c>
      <c r="H537">
        <v>14</v>
      </c>
      <c r="I537">
        <v>40587.449999999997</v>
      </c>
      <c r="J537">
        <v>1350.49</v>
      </c>
      <c r="K537">
        <v>0</v>
      </c>
      <c r="L537">
        <v>2024</v>
      </c>
    </row>
    <row r="538" spans="1:12" x14ac:dyDescent="0.25">
      <c r="A538" s="1" t="s">
        <v>571</v>
      </c>
      <c r="B538" s="1" t="s">
        <v>14</v>
      </c>
      <c r="C538">
        <v>51</v>
      </c>
      <c r="D538" s="1" t="s">
        <v>25</v>
      </c>
      <c r="E538">
        <v>41598.160000000003</v>
      </c>
      <c r="F538">
        <v>26212.720000000001</v>
      </c>
      <c r="G538">
        <v>57</v>
      </c>
      <c r="H538">
        <v>38</v>
      </c>
      <c r="I538">
        <v>0</v>
      </c>
      <c r="J538">
        <v>11484.19</v>
      </c>
      <c r="K538">
        <v>0</v>
      </c>
      <c r="L538">
        <v>2024</v>
      </c>
    </row>
    <row r="539" spans="1:12" x14ac:dyDescent="0.25">
      <c r="A539" s="1" t="s">
        <v>572</v>
      </c>
      <c r="B539" s="1" t="s">
        <v>12</v>
      </c>
      <c r="C539">
        <v>34</v>
      </c>
      <c r="D539" s="1" t="s">
        <v>25</v>
      </c>
      <c r="E539">
        <v>22941.360000000001</v>
      </c>
      <c r="F539">
        <v>13418.53</v>
      </c>
      <c r="G539">
        <v>70</v>
      </c>
      <c r="H539">
        <v>65</v>
      </c>
      <c r="I539">
        <v>61267.040000000001</v>
      </c>
      <c r="J539">
        <v>6019.45</v>
      </c>
      <c r="K539">
        <v>0</v>
      </c>
      <c r="L539">
        <v>2024</v>
      </c>
    </row>
    <row r="540" spans="1:12" x14ac:dyDescent="0.25">
      <c r="A540" s="1" t="s">
        <v>573</v>
      </c>
      <c r="B540" s="1" t="s">
        <v>14</v>
      </c>
      <c r="C540">
        <v>75</v>
      </c>
      <c r="D540" s="1" t="s">
        <v>25</v>
      </c>
      <c r="E540">
        <v>46130.73</v>
      </c>
      <c r="F540">
        <v>45802.66</v>
      </c>
      <c r="G540">
        <v>29</v>
      </c>
      <c r="H540">
        <v>46</v>
      </c>
      <c r="I540">
        <v>35743.279999999999</v>
      </c>
      <c r="J540">
        <v>324.43</v>
      </c>
      <c r="K540">
        <v>0</v>
      </c>
      <c r="L540">
        <v>2024</v>
      </c>
    </row>
    <row r="541" spans="1:12" x14ac:dyDescent="0.25">
      <c r="A541" s="1" t="s">
        <v>574</v>
      </c>
      <c r="B541" s="1" t="s">
        <v>15</v>
      </c>
      <c r="C541">
        <v>52</v>
      </c>
      <c r="D541" s="1" t="s">
        <v>25</v>
      </c>
      <c r="E541">
        <v>60637.61</v>
      </c>
      <c r="F541">
        <v>48088.02</v>
      </c>
      <c r="G541">
        <v>32</v>
      </c>
      <c r="H541">
        <v>30</v>
      </c>
      <c r="I541">
        <v>70648.77</v>
      </c>
      <c r="J541">
        <v>0</v>
      </c>
      <c r="K541">
        <v>0</v>
      </c>
      <c r="L541">
        <v>2024</v>
      </c>
    </row>
    <row r="542" spans="1:12" x14ac:dyDescent="0.25">
      <c r="A542" s="1" t="s">
        <v>575</v>
      </c>
      <c r="B542" s="1" t="s">
        <v>15</v>
      </c>
      <c r="C542">
        <v>10</v>
      </c>
      <c r="D542" s="1" t="s">
        <v>25</v>
      </c>
      <c r="E542">
        <v>17599.810000000001</v>
      </c>
      <c r="F542">
        <v>14985.33</v>
      </c>
      <c r="G542">
        <v>45</v>
      </c>
      <c r="H542">
        <v>0</v>
      </c>
      <c r="I542">
        <v>75537.11</v>
      </c>
      <c r="J542">
        <v>4106.34</v>
      </c>
      <c r="K542">
        <v>0</v>
      </c>
      <c r="L542">
        <v>2024</v>
      </c>
    </row>
    <row r="543" spans="1:12" x14ac:dyDescent="0.25">
      <c r="A543" s="1" t="s">
        <v>576</v>
      </c>
      <c r="B543" s="1" t="s">
        <v>16</v>
      </c>
      <c r="C543">
        <v>116</v>
      </c>
      <c r="D543" s="1" t="s">
        <v>25</v>
      </c>
      <c r="E543">
        <v>97827.17</v>
      </c>
      <c r="F543">
        <v>77151.95</v>
      </c>
      <c r="G543">
        <v>71</v>
      </c>
      <c r="H543">
        <v>30</v>
      </c>
      <c r="I543">
        <v>69379.98</v>
      </c>
      <c r="J543">
        <v>7083.81</v>
      </c>
      <c r="K543">
        <v>0</v>
      </c>
      <c r="L543">
        <v>2024</v>
      </c>
    </row>
    <row r="544" spans="1:12" x14ac:dyDescent="0.25">
      <c r="A544" s="1" t="s">
        <v>577</v>
      </c>
      <c r="B544" s="1" t="s">
        <v>15</v>
      </c>
      <c r="C544">
        <v>120</v>
      </c>
      <c r="D544" s="1" t="s">
        <v>25</v>
      </c>
      <c r="E544">
        <v>94137.16</v>
      </c>
      <c r="F544">
        <v>87988.49</v>
      </c>
      <c r="G544">
        <v>30</v>
      </c>
      <c r="H544">
        <v>50</v>
      </c>
      <c r="I544">
        <v>27275.46</v>
      </c>
      <c r="J544">
        <v>0</v>
      </c>
      <c r="K544">
        <v>0</v>
      </c>
      <c r="L544">
        <v>2024</v>
      </c>
    </row>
    <row r="545" spans="1:12" x14ac:dyDescent="0.25">
      <c r="A545" s="1" t="s">
        <v>578</v>
      </c>
      <c r="B545" s="1" t="s">
        <v>18</v>
      </c>
      <c r="C545">
        <v>39</v>
      </c>
      <c r="D545" s="1" t="s">
        <v>25</v>
      </c>
      <c r="E545">
        <v>37971.32</v>
      </c>
      <c r="F545">
        <v>35995.360000000001</v>
      </c>
      <c r="G545">
        <v>64</v>
      </c>
      <c r="H545">
        <v>19</v>
      </c>
      <c r="I545">
        <v>60307.19</v>
      </c>
      <c r="J545">
        <v>0</v>
      </c>
      <c r="K545">
        <v>0</v>
      </c>
      <c r="L545">
        <v>2024</v>
      </c>
    </row>
    <row r="546" spans="1:12" x14ac:dyDescent="0.25">
      <c r="A546" s="1" t="s">
        <v>579</v>
      </c>
      <c r="B546" s="1" t="s">
        <v>12</v>
      </c>
      <c r="C546">
        <v>86</v>
      </c>
      <c r="D546" s="1" t="s">
        <v>25</v>
      </c>
      <c r="E546">
        <v>83695.61</v>
      </c>
      <c r="F546">
        <v>66928.960000000006</v>
      </c>
      <c r="G546">
        <v>30</v>
      </c>
      <c r="H546">
        <v>24</v>
      </c>
      <c r="I546">
        <v>50640.76</v>
      </c>
      <c r="J546">
        <v>10401.32</v>
      </c>
      <c r="K546">
        <v>0</v>
      </c>
      <c r="L546">
        <v>2024</v>
      </c>
    </row>
    <row r="547" spans="1:12" x14ac:dyDescent="0.25">
      <c r="A547" s="1" t="s">
        <v>580</v>
      </c>
      <c r="B547" s="1" t="s">
        <v>12</v>
      </c>
      <c r="C547">
        <v>3</v>
      </c>
      <c r="D547" s="1" t="s">
        <v>25</v>
      </c>
      <c r="E547">
        <v>4000</v>
      </c>
      <c r="F547">
        <v>2500</v>
      </c>
      <c r="G547">
        <v>69</v>
      </c>
      <c r="H547">
        <v>23</v>
      </c>
      <c r="I547">
        <v>34412.65</v>
      </c>
      <c r="J547">
        <v>3951.21</v>
      </c>
      <c r="K547">
        <v>0</v>
      </c>
      <c r="L547">
        <v>2024</v>
      </c>
    </row>
    <row r="548" spans="1:12" x14ac:dyDescent="0.25">
      <c r="A548" s="1" t="s">
        <v>581</v>
      </c>
      <c r="B548" s="1" t="s">
        <v>15</v>
      </c>
      <c r="C548">
        <v>104</v>
      </c>
      <c r="D548" s="1" t="s">
        <v>25</v>
      </c>
      <c r="E548">
        <v>79829.66</v>
      </c>
      <c r="F548">
        <v>75110.77</v>
      </c>
      <c r="G548">
        <v>42</v>
      </c>
      <c r="H548">
        <v>7</v>
      </c>
      <c r="I548">
        <v>27675.68</v>
      </c>
      <c r="J548">
        <v>0</v>
      </c>
      <c r="K548">
        <v>0</v>
      </c>
      <c r="L548">
        <v>2024</v>
      </c>
    </row>
    <row r="549" spans="1:12" x14ac:dyDescent="0.25">
      <c r="A549" s="1" t="s">
        <v>582</v>
      </c>
      <c r="B549" s="1" t="s">
        <v>16</v>
      </c>
      <c r="C549">
        <v>10</v>
      </c>
      <c r="D549" s="1" t="s">
        <v>25</v>
      </c>
      <c r="E549">
        <v>12414</v>
      </c>
      <c r="F549">
        <v>10770.54</v>
      </c>
      <c r="G549">
        <v>44</v>
      </c>
      <c r="H549">
        <v>11</v>
      </c>
      <c r="I549">
        <v>43358.28</v>
      </c>
      <c r="J549">
        <v>9638.68</v>
      </c>
      <c r="K549">
        <v>0</v>
      </c>
      <c r="L549">
        <v>2024</v>
      </c>
    </row>
    <row r="550" spans="1:12" x14ac:dyDescent="0.25">
      <c r="A550" s="1" t="s">
        <v>583</v>
      </c>
      <c r="B550" s="1" t="s">
        <v>16</v>
      </c>
      <c r="C550">
        <v>59</v>
      </c>
      <c r="D550" s="1" t="s">
        <v>25</v>
      </c>
      <c r="E550">
        <v>59973.32</v>
      </c>
      <c r="F550">
        <v>60382.82</v>
      </c>
      <c r="G550">
        <v>36</v>
      </c>
      <c r="H550">
        <v>10</v>
      </c>
      <c r="I550">
        <v>63099.69</v>
      </c>
      <c r="J550">
        <v>3146.47</v>
      </c>
      <c r="K550">
        <v>0</v>
      </c>
      <c r="L550">
        <v>2024</v>
      </c>
    </row>
    <row r="551" spans="1:12" x14ac:dyDescent="0.25">
      <c r="A551" s="1" t="s">
        <v>584</v>
      </c>
      <c r="B551" s="1" t="s">
        <v>12</v>
      </c>
      <c r="C551">
        <v>42</v>
      </c>
      <c r="D551" s="1" t="s">
        <v>28</v>
      </c>
      <c r="E551">
        <v>32416.58</v>
      </c>
      <c r="F551">
        <v>31146.7</v>
      </c>
      <c r="G551">
        <v>37</v>
      </c>
      <c r="H551">
        <v>38</v>
      </c>
      <c r="I551">
        <v>35231.15</v>
      </c>
      <c r="J551">
        <v>6736.3</v>
      </c>
      <c r="K551">
        <v>0</v>
      </c>
      <c r="L551">
        <v>2024</v>
      </c>
    </row>
    <row r="552" spans="1:12" x14ac:dyDescent="0.25">
      <c r="A552" s="1" t="s">
        <v>585</v>
      </c>
      <c r="B552" s="1" t="s">
        <v>15</v>
      </c>
      <c r="C552">
        <v>71</v>
      </c>
      <c r="D552" s="1" t="s">
        <v>28</v>
      </c>
      <c r="E552">
        <v>65210.77</v>
      </c>
      <c r="F552">
        <v>51628.09</v>
      </c>
      <c r="G552">
        <v>56</v>
      </c>
      <c r="H552">
        <v>28</v>
      </c>
      <c r="I552">
        <v>26769.49</v>
      </c>
      <c r="J552">
        <v>3318.02</v>
      </c>
      <c r="K552">
        <v>1</v>
      </c>
      <c r="L552">
        <v>2024</v>
      </c>
    </row>
    <row r="553" spans="1:12" x14ac:dyDescent="0.25">
      <c r="A553" s="1" t="s">
        <v>586</v>
      </c>
      <c r="B553" s="1" t="s">
        <v>15</v>
      </c>
      <c r="C553">
        <v>17</v>
      </c>
      <c r="D553" s="1" t="s">
        <v>28</v>
      </c>
      <c r="E553">
        <v>15924.58</v>
      </c>
      <c r="F553">
        <v>9281.52</v>
      </c>
      <c r="G553">
        <v>47</v>
      </c>
      <c r="H553">
        <v>32</v>
      </c>
      <c r="I553">
        <v>22076.560000000001</v>
      </c>
      <c r="J553">
        <v>8319.6299999999992</v>
      </c>
      <c r="K553">
        <v>1</v>
      </c>
      <c r="L553">
        <v>2024</v>
      </c>
    </row>
    <row r="554" spans="1:12" x14ac:dyDescent="0.25">
      <c r="A554" s="1" t="s">
        <v>587</v>
      </c>
      <c r="B554" s="1" t="s">
        <v>14</v>
      </c>
      <c r="C554">
        <v>57</v>
      </c>
      <c r="D554" s="1" t="s">
        <v>28</v>
      </c>
      <c r="E554">
        <v>59236.57</v>
      </c>
      <c r="F554">
        <v>46430.47</v>
      </c>
      <c r="G554">
        <v>52</v>
      </c>
      <c r="H554">
        <v>6</v>
      </c>
      <c r="I554">
        <v>82078.12</v>
      </c>
      <c r="J554">
        <v>385.26</v>
      </c>
      <c r="K554">
        <v>1</v>
      </c>
      <c r="L554">
        <v>2024</v>
      </c>
    </row>
    <row r="555" spans="1:12" x14ac:dyDescent="0.25">
      <c r="A555" s="1" t="s">
        <v>588</v>
      </c>
      <c r="B555" s="1" t="s">
        <v>17</v>
      </c>
      <c r="C555">
        <v>52</v>
      </c>
      <c r="D555" s="1" t="s">
        <v>28</v>
      </c>
      <c r="E555">
        <v>43647.79</v>
      </c>
      <c r="F555">
        <v>46236.14</v>
      </c>
      <c r="G555">
        <v>45</v>
      </c>
      <c r="H555">
        <v>25</v>
      </c>
      <c r="I555">
        <v>74185.919999999998</v>
      </c>
      <c r="J555">
        <v>0</v>
      </c>
      <c r="K555">
        <v>0</v>
      </c>
      <c r="L555">
        <v>2024</v>
      </c>
    </row>
    <row r="556" spans="1:12" x14ac:dyDescent="0.25">
      <c r="A556" s="1" t="s">
        <v>589</v>
      </c>
      <c r="B556" s="1" t="s">
        <v>17</v>
      </c>
      <c r="C556">
        <v>64</v>
      </c>
      <c r="D556" s="1" t="s">
        <v>28</v>
      </c>
      <c r="E556">
        <v>57604.01</v>
      </c>
      <c r="F556">
        <v>49513.06</v>
      </c>
      <c r="G556">
        <v>67</v>
      </c>
      <c r="H556">
        <v>0</v>
      </c>
      <c r="I556">
        <v>43004.53</v>
      </c>
      <c r="J556">
        <v>0</v>
      </c>
      <c r="K556">
        <v>0</v>
      </c>
      <c r="L556">
        <v>2024</v>
      </c>
    </row>
    <row r="557" spans="1:12" x14ac:dyDescent="0.25">
      <c r="A557" s="1" t="s">
        <v>590</v>
      </c>
      <c r="B557" s="1" t="s">
        <v>17</v>
      </c>
      <c r="C557">
        <v>71</v>
      </c>
      <c r="D557" s="1" t="s">
        <v>28</v>
      </c>
      <c r="E557">
        <v>64730.12</v>
      </c>
      <c r="F557">
        <v>57517.25</v>
      </c>
      <c r="G557">
        <v>42</v>
      </c>
      <c r="H557">
        <v>27</v>
      </c>
      <c r="I557">
        <v>46843.32</v>
      </c>
      <c r="J557">
        <v>614.82000000000005</v>
      </c>
      <c r="K557">
        <v>0</v>
      </c>
      <c r="L557">
        <v>2024</v>
      </c>
    </row>
    <row r="558" spans="1:12" x14ac:dyDescent="0.25">
      <c r="A558" s="1" t="s">
        <v>591</v>
      </c>
      <c r="B558" s="1" t="s">
        <v>15</v>
      </c>
      <c r="C558">
        <v>35</v>
      </c>
      <c r="D558" s="1" t="s">
        <v>28</v>
      </c>
      <c r="E558">
        <v>4000</v>
      </c>
      <c r="F558">
        <v>2500</v>
      </c>
      <c r="G558">
        <v>38</v>
      </c>
      <c r="H558">
        <v>13</v>
      </c>
      <c r="I558">
        <v>54529.51</v>
      </c>
      <c r="J558">
        <v>0</v>
      </c>
      <c r="K558">
        <v>0</v>
      </c>
      <c r="L558">
        <v>2024</v>
      </c>
    </row>
    <row r="559" spans="1:12" x14ac:dyDescent="0.25">
      <c r="A559" s="1" t="s">
        <v>592</v>
      </c>
      <c r="B559" s="1" t="s">
        <v>12</v>
      </c>
      <c r="C559">
        <v>115</v>
      </c>
      <c r="D559" s="1" t="s">
        <v>28</v>
      </c>
      <c r="E559">
        <v>92335.88</v>
      </c>
      <c r="F559">
        <v>97720.35</v>
      </c>
      <c r="G559">
        <v>60</v>
      </c>
      <c r="H559">
        <v>37</v>
      </c>
      <c r="I559">
        <v>19243.849999999999</v>
      </c>
      <c r="J559">
        <v>2311.0100000000002</v>
      </c>
      <c r="K559">
        <v>0</v>
      </c>
      <c r="L559">
        <v>2024</v>
      </c>
    </row>
    <row r="560" spans="1:12" x14ac:dyDescent="0.25">
      <c r="A560" s="1" t="s">
        <v>593</v>
      </c>
      <c r="B560" s="1" t="s">
        <v>14</v>
      </c>
      <c r="C560">
        <v>31</v>
      </c>
      <c r="D560" s="1" t="s">
        <v>28</v>
      </c>
      <c r="E560">
        <v>28565.78</v>
      </c>
      <c r="F560">
        <v>25750.51</v>
      </c>
      <c r="G560">
        <v>35</v>
      </c>
      <c r="H560">
        <v>44</v>
      </c>
      <c r="I560">
        <v>36725.06</v>
      </c>
      <c r="J560">
        <v>7991.55</v>
      </c>
      <c r="K560">
        <v>0</v>
      </c>
      <c r="L560">
        <v>2024</v>
      </c>
    </row>
    <row r="561" spans="1:12" x14ac:dyDescent="0.25">
      <c r="A561" s="1" t="s">
        <v>594</v>
      </c>
      <c r="B561" s="1" t="s">
        <v>18</v>
      </c>
      <c r="C561">
        <v>32</v>
      </c>
      <c r="D561" s="1" t="s">
        <v>28</v>
      </c>
      <c r="E561">
        <v>42982.99</v>
      </c>
      <c r="F561">
        <v>27669.1</v>
      </c>
      <c r="G561">
        <v>36</v>
      </c>
      <c r="H561">
        <v>55</v>
      </c>
      <c r="I561">
        <v>38999.79</v>
      </c>
      <c r="J561">
        <v>5385.78</v>
      </c>
      <c r="K561">
        <v>0</v>
      </c>
      <c r="L561">
        <v>2024</v>
      </c>
    </row>
    <row r="562" spans="1:12" x14ac:dyDescent="0.25">
      <c r="A562" s="1" t="s">
        <v>595</v>
      </c>
      <c r="B562" s="1" t="s">
        <v>17</v>
      </c>
      <c r="C562">
        <v>102</v>
      </c>
      <c r="D562" s="1" t="s">
        <v>28</v>
      </c>
      <c r="E562">
        <v>74478.36</v>
      </c>
      <c r="F562">
        <v>73724.009999999995</v>
      </c>
      <c r="G562">
        <v>22</v>
      </c>
      <c r="H562">
        <v>25</v>
      </c>
      <c r="I562">
        <v>9083.81</v>
      </c>
      <c r="J562">
        <v>2206.73</v>
      </c>
      <c r="K562">
        <v>1</v>
      </c>
      <c r="L562">
        <v>2024</v>
      </c>
    </row>
    <row r="563" spans="1:12" x14ac:dyDescent="0.25">
      <c r="A563" s="1" t="s">
        <v>596</v>
      </c>
      <c r="B563" s="1" t="s">
        <v>18</v>
      </c>
      <c r="C563">
        <v>36</v>
      </c>
      <c r="D563" s="1" t="s">
        <v>28</v>
      </c>
      <c r="E563">
        <v>45718.49</v>
      </c>
      <c r="F563">
        <v>39997.019999999997</v>
      </c>
      <c r="G563">
        <v>29</v>
      </c>
      <c r="H563">
        <v>36</v>
      </c>
      <c r="I563">
        <v>46346.79</v>
      </c>
      <c r="J563">
        <v>7792.24</v>
      </c>
      <c r="K563">
        <v>0</v>
      </c>
      <c r="L563">
        <v>2024</v>
      </c>
    </row>
    <row r="564" spans="1:12" x14ac:dyDescent="0.25">
      <c r="A564" s="1" t="s">
        <v>597</v>
      </c>
      <c r="B564" s="1" t="s">
        <v>16</v>
      </c>
      <c r="C564">
        <v>103</v>
      </c>
      <c r="D564" s="1" t="s">
        <v>28</v>
      </c>
      <c r="E564">
        <v>95051.81</v>
      </c>
      <c r="F564">
        <v>65096.6</v>
      </c>
      <c r="G564">
        <v>59</v>
      </c>
      <c r="H564">
        <v>34</v>
      </c>
      <c r="I564">
        <v>17777.66</v>
      </c>
      <c r="J564">
        <v>0</v>
      </c>
      <c r="K564">
        <v>1</v>
      </c>
      <c r="L564">
        <v>2024</v>
      </c>
    </row>
    <row r="565" spans="1:12" x14ac:dyDescent="0.25">
      <c r="A565" s="1" t="s">
        <v>598</v>
      </c>
      <c r="B565" s="1" t="s">
        <v>12</v>
      </c>
      <c r="C565">
        <v>92</v>
      </c>
      <c r="D565" s="1" t="s">
        <v>28</v>
      </c>
      <c r="E565">
        <v>68489.740000000005</v>
      </c>
      <c r="F565">
        <v>53660.24</v>
      </c>
      <c r="G565">
        <v>26</v>
      </c>
      <c r="H565">
        <v>37</v>
      </c>
      <c r="I565">
        <v>21798.93</v>
      </c>
      <c r="J565">
        <v>5727.77</v>
      </c>
      <c r="K565">
        <v>1</v>
      </c>
      <c r="L565">
        <v>2024</v>
      </c>
    </row>
    <row r="566" spans="1:12" x14ac:dyDescent="0.25">
      <c r="A566" s="1" t="s">
        <v>599</v>
      </c>
      <c r="B566" s="1" t="s">
        <v>15</v>
      </c>
      <c r="C566">
        <v>13</v>
      </c>
      <c r="D566" s="1" t="s">
        <v>28</v>
      </c>
      <c r="E566">
        <v>31635.53</v>
      </c>
      <c r="F566">
        <v>22259.32</v>
      </c>
      <c r="G566">
        <v>55</v>
      </c>
      <c r="H566">
        <v>33</v>
      </c>
      <c r="I566">
        <v>1511.92</v>
      </c>
      <c r="J566">
        <v>5221.62</v>
      </c>
      <c r="K566">
        <v>0</v>
      </c>
      <c r="L566">
        <v>2024</v>
      </c>
    </row>
    <row r="567" spans="1:12" x14ac:dyDescent="0.25">
      <c r="A567" s="1" t="s">
        <v>600</v>
      </c>
      <c r="B567" s="1" t="s">
        <v>12</v>
      </c>
      <c r="C567">
        <v>53</v>
      </c>
      <c r="D567" s="1" t="s">
        <v>28</v>
      </c>
      <c r="E567">
        <v>49869.97</v>
      </c>
      <c r="F567">
        <v>29160.48</v>
      </c>
      <c r="G567">
        <v>10</v>
      </c>
      <c r="H567">
        <v>32</v>
      </c>
      <c r="I567">
        <v>51998.94</v>
      </c>
      <c r="J567">
        <v>9652.26</v>
      </c>
      <c r="K567">
        <v>0</v>
      </c>
      <c r="L567">
        <v>2024</v>
      </c>
    </row>
    <row r="568" spans="1:12" x14ac:dyDescent="0.25">
      <c r="A568" s="1" t="s">
        <v>601</v>
      </c>
      <c r="B568" s="1" t="s">
        <v>16</v>
      </c>
      <c r="C568">
        <v>109</v>
      </c>
      <c r="D568" s="1" t="s">
        <v>28</v>
      </c>
      <c r="E568">
        <v>98051.97</v>
      </c>
      <c r="F568">
        <v>68190.83</v>
      </c>
      <c r="G568">
        <v>24</v>
      </c>
      <c r="H568">
        <v>13</v>
      </c>
      <c r="I568">
        <v>62746.02</v>
      </c>
      <c r="J568">
        <v>6930.34</v>
      </c>
      <c r="K568">
        <v>0</v>
      </c>
      <c r="L568">
        <v>2024</v>
      </c>
    </row>
    <row r="569" spans="1:12" x14ac:dyDescent="0.25">
      <c r="A569" s="1" t="s">
        <v>602</v>
      </c>
      <c r="B569" s="1" t="s">
        <v>14</v>
      </c>
      <c r="C569">
        <v>108</v>
      </c>
      <c r="D569" s="1" t="s">
        <v>28</v>
      </c>
      <c r="E569">
        <v>94585.44</v>
      </c>
      <c r="F569">
        <v>91352</v>
      </c>
      <c r="G569">
        <v>43</v>
      </c>
      <c r="H569">
        <v>17</v>
      </c>
      <c r="I569">
        <v>60849.279999999999</v>
      </c>
      <c r="J569">
        <v>0</v>
      </c>
      <c r="K569">
        <v>1</v>
      </c>
      <c r="L569">
        <v>2024</v>
      </c>
    </row>
    <row r="570" spans="1:12" x14ac:dyDescent="0.25">
      <c r="A570" s="1" t="s">
        <v>603</v>
      </c>
      <c r="B570" s="1" t="s">
        <v>18</v>
      </c>
      <c r="C570">
        <v>4</v>
      </c>
      <c r="D570" s="1" t="s">
        <v>28</v>
      </c>
      <c r="E570">
        <v>20990.91</v>
      </c>
      <c r="F570">
        <v>17256.73</v>
      </c>
      <c r="G570">
        <v>28</v>
      </c>
      <c r="H570">
        <v>23</v>
      </c>
      <c r="I570">
        <v>9364.25</v>
      </c>
      <c r="J570">
        <v>2678.03</v>
      </c>
      <c r="K570">
        <v>0</v>
      </c>
      <c r="L570">
        <v>2024</v>
      </c>
    </row>
    <row r="571" spans="1:12" x14ac:dyDescent="0.25">
      <c r="A571" s="1" t="s">
        <v>604</v>
      </c>
      <c r="B571" s="1" t="s">
        <v>17</v>
      </c>
      <c r="C571">
        <v>32</v>
      </c>
      <c r="D571" s="1" t="s">
        <v>28</v>
      </c>
      <c r="E571">
        <v>15732.19</v>
      </c>
      <c r="F571">
        <v>11617.79</v>
      </c>
      <c r="G571">
        <v>42</v>
      </c>
      <c r="H571">
        <v>35</v>
      </c>
      <c r="I571">
        <v>28363.86</v>
      </c>
      <c r="J571">
        <v>13493.35</v>
      </c>
      <c r="K571">
        <v>0</v>
      </c>
      <c r="L571">
        <v>2024</v>
      </c>
    </row>
    <row r="572" spans="1:12" x14ac:dyDescent="0.25">
      <c r="A572" s="1" t="s">
        <v>605</v>
      </c>
      <c r="B572" s="1" t="s">
        <v>18</v>
      </c>
      <c r="C572">
        <v>70</v>
      </c>
      <c r="D572" s="1" t="s">
        <v>28</v>
      </c>
      <c r="E572">
        <v>62741.75</v>
      </c>
      <c r="F572">
        <v>43006.64</v>
      </c>
      <c r="G572">
        <v>41</v>
      </c>
      <c r="H572">
        <v>57</v>
      </c>
      <c r="I572">
        <v>31838.04</v>
      </c>
      <c r="J572">
        <v>0</v>
      </c>
      <c r="K572">
        <v>0</v>
      </c>
      <c r="L572">
        <v>2024</v>
      </c>
    </row>
    <row r="573" spans="1:12" x14ac:dyDescent="0.25">
      <c r="A573" s="1" t="s">
        <v>606</v>
      </c>
      <c r="B573" s="1" t="s">
        <v>17</v>
      </c>
      <c r="C573">
        <v>117</v>
      </c>
      <c r="D573" s="1" t="s">
        <v>28</v>
      </c>
      <c r="E573">
        <v>78412.59</v>
      </c>
      <c r="F573">
        <v>52086.7</v>
      </c>
      <c r="G573">
        <v>39</v>
      </c>
      <c r="H573">
        <v>42</v>
      </c>
      <c r="I573">
        <v>51563.72</v>
      </c>
      <c r="J573">
        <v>865.24</v>
      </c>
      <c r="K573">
        <v>0</v>
      </c>
      <c r="L573">
        <v>2024</v>
      </c>
    </row>
    <row r="574" spans="1:12" x14ac:dyDescent="0.25">
      <c r="A574" s="1" t="s">
        <v>607</v>
      </c>
      <c r="B574" s="1" t="s">
        <v>15</v>
      </c>
      <c r="C574">
        <v>49</v>
      </c>
      <c r="D574" s="1" t="s">
        <v>28</v>
      </c>
      <c r="E574">
        <v>40652.699999999997</v>
      </c>
      <c r="F574">
        <v>36928.660000000003</v>
      </c>
      <c r="G574">
        <v>60</v>
      </c>
      <c r="H574">
        <v>40</v>
      </c>
      <c r="I574">
        <v>64036.92</v>
      </c>
      <c r="J574">
        <v>7953.09</v>
      </c>
      <c r="K574">
        <v>0</v>
      </c>
      <c r="L574">
        <v>2024</v>
      </c>
    </row>
    <row r="575" spans="1:12" x14ac:dyDescent="0.25">
      <c r="A575" s="1" t="s">
        <v>608</v>
      </c>
      <c r="B575" s="1" t="s">
        <v>15</v>
      </c>
      <c r="C575">
        <v>66</v>
      </c>
      <c r="D575" s="1" t="s">
        <v>28</v>
      </c>
      <c r="E575">
        <v>55600.01</v>
      </c>
      <c r="F575">
        <v>40091.15</v>
      </c>
      <c r="G575">
        <v>29</v>
      </c>
      <c r="H575">
        <v>24</v>
      </c>
      <c r="I575">
        <v>59916.35</v>
      </c>
      <c r="J575">
        <v>10196.76</v>
      </c>
      <c r="K575">
        <v>1</v>
      </c>
      <c r="L575">
        <v>2024</v>
      </c>
    </row>
    <row r="576" spans="1:12" x14ac:dyDescent="0.25">
      <c r="A576" s="1" t="s">
        <v>609</v>
      </c>
      <c r="B576" s="1" t="s">
        <v>16</v>
      </c>
      <c r="C576">
        <v>56</v>
      </c>
      <c r="D576" s="1" t="s">
        <v>28</v>
      </c>
      <c r="E576">
        <v>48787.71</v>
      </c>
      <c r="F576">
        <v>52388.4</v>
      </c>
      <c r="G576">
        <v>55</v>
      </c>
      <c r="H576">
        <v>24</v>
      </c>
      <c r="I576">
        <v>78348.399999999994</v>
      </c>
      <c r="J576">
        <v>441.9</v>
      </c>
      <c r="K576">
        <v>0</v>
      </c>
      <c r="L576">
        <v>2024</v>
      </c>
    </row>
    <row r="577" spans="1:12" x14ac:dyDescent="0.25">
      <c r="A577" s="1" t="s">
        <v>610</v>
      </c>
      <c r="B577" s="1" t="s">
        <v>16</v>
      </c>
      <c r="C577">
        <v>25</v>
      </c>
      <c r="D577" s="1" t="s">
        <v>28</v>
      </c>
      <c r="E577">
        <v>22825.73</v>
      </c>
      <c r="F577">
        <v>21888.57</v>
      </c>
      <c r="G577">
        <v>50</v>
      </c>
      <c r="H577">
        <v>12</v>
      </c>
      <c r="I577">
        <v>2818.42</v>
      </c>
      <c r="J577">
        <v>11210.02</v>
      </c>
      <c r="K577">
        <v>0</v>
      </c>
      <c r="L577">
        <v>2024</v>
      </c>
    </row>
    <row r="578" spans="1:12" x14ac:dyDescent="0.25">
      <c r="A578" s="1" t="s">
        <v>611</v>
      </c>
      <c r="B578" s="1" t="s">
        <v>16</v>
      </c>
      <c r="C578">
        <v>120</v>
      </c>
      <c r="D578" s="1" t="s">
        <v>28</v>
      </c>
      <c r="E578">
        <v>76232.95</v>
      </c>
      <c r="F578">
        <v>57776.92</v>
      </c>
      <c r="G578">
        <v>37</v>
      </c>
      <c r="H578">
        <v>25</v>
      </c>
      <c r="I578">
        <v>57202.5</v>
      </c>
      <c r="J578">
        <v>8107.83</v>
      </c>
      <c r="K578">
        <v>0</v>
      </c>
      <c r="L578">
        <v>2024</v>
      </c>
    </row>
    <row r="579" spans="1:12" x14ac:dyDescent="0.25">
      <c r="A579" s="1" t="s">
        <v>612</v>
      </c>
      <c r="B579" s="1" t="s">
        <v>14</v>
      </c>
      <c r="C579">
        <v>106</v>
      </c>
      <c r="D579" s="1" t="s">
        <v>28</v>
      </c>
      <c r="E579">
        <v>79424.740000000005</v>
      </c>
      <c r="F579">
        <v>56507.7</v>
      </c>
      <c r="G579">
        <v>39</v>
      </c>
      <c r="H579">
        <v>27</v>
      </c>
      <c r="I579">
        <v>27856.89</v>
      </c>
      <c r="J579">
        <v>3517.22</v>
      </c>
      <c r="K579">
        <v>0</v>
      </c>
      <c r="L579">
        <v>2024</v>
      </c>
    </row>
    <row r="580" spans="1:12" x14ac:dyDescent="0.25">
      <c r="A580" s="1" t="s">
        <v>613</v>
      </c>
      <c r="B580" s="1" t="s">
        <v>12</v>
      </c>
      <c r="C580">
        <v>29</v>
      </c>
      <c r="D580" s="1" t="s">
        <v>28</v>
      </c>
      <c r="E580">
        <v>20098.07</v>
      </c>
      <c r="F580">
        <v>17881.7</v>
      </c>
      <c r="G580">
        <v>35</v>
      </c>
      <c r="H580">
        <v>25</v>
      </c>
      <c r="I580">
        <v>3480.73</v>
      </c>
      <c r="J580">
        <v>15395.53</v>
      </c>
      <c r="K580">
        <v>0</v>
      </c>
      <c r="L580">
        <v>2024</v>
      </c>
    </row>
    <row r="581" spans="1:12" x14ac:dyDescent="0.25">
      <c r="A581" s="1" t="s">
        <v>614</v>
      </c>
      <c r="B581" s="1" t="s">
        <v>17</v>
      </c>
      <c r="C581">
        <v>5</v>
      </c>
      <c r="D581" s="1" t="s">
        <v>28</v>
      </c>
      <c r="E581">
        <v>16860.64</v>
      </c>
      <c r="F581">
        <v>13509.66</v>
      </c>
      <c r="G581">
        <v>21</v>
      </c>
      <c r="H581">
        <v>34</v>
      </c>
      <c r="I581">
        <v>60578.07</v>
      </c>
      <c r="J581">
        <v>2909.37</v>
      </c>
      <c r="K581">
        <v>1</v>
      </c>
      <c r="L581">
        <v>2024</v>
      </c>
    </row>
    <row r="582" spans="1:12" x14ac:dyDescent="0.25">
      <c r="A582" s="1" t="s">
        <v>615</v>
      </c>
      <c r="B582" s="1" t="s">
        <v>14</v>
      </c>
      <c r="C582">
        <v>82</v>
      </c>
      <c r="D582" s="1" t="s">
        <v>28</v>
      </c>
      <c r="E582">
        <v>56362.27</v>
      </c>
      <c r="F582">
        <v>54165.63</v>
      </c>
      <c r="G582">
        <v>51</v>
      </c>
      <c r="H582">
        <v>8</v>
      </c>
      <c r="I582">
        <v>15147.98</v>
      </c>
      <c r="J582">
        <v>641.78</v>
      </c>
      <c r="K582">
        <v>0</v>
      </c>
      <c r="L582">
        <v>2024</v>
      </c>
    </row>
    <row r="583" spans="1:12" x14ac:dyDescent="0.25">
      <c r="A583" s="1" t="s">
        <v>616</v>
      </c>
      <c r="B583" s="1" t="s">
        <v>14</v>
      </c>
      <c r="C583">
        <v>27</v>
      </c>
      <c r="D583" s="1" t="s">
        <v>28</v>
      </c>
      <c r="E583">
        <v>32908.97</v>
      </c>
      <c r="F583">
        <v>34377.879999999997</v>
      </c>
      <c r="G583">
        <v>43</v>
      </c>
      <c r="H583">
        <v>71</v>
      </c>
      <c r="I583">
        <v>60213.9</v>
      </c>
      <c r="J583">
        <v>0</v>
      </c>
      <c r="K583">
        <v>1</v>
      </c>
      <c r="L583">
        <v>2024</v>
      </c>
    </row>
    <row r="584" spans="1:12" x14ac:dyDescent="0.25">
      <c r="A584" s="1" t="s">
        <v>617</v>
      </c>
      <c r="B584" s="1" t="s">
        <v>16</v>
      </c>
      <c r="C584">
        <v>58</v>
      </c>
      <c r="D584" s="1" t="s">
        <v>28</v>
      </c>
      <c r="E584">
        <v>48461.14</v>
      </c>
      <c r="F584">
        <v>42901.32</v>
      </c>
      <c r="G584">
        <v>50</v>
      </c>
      <c r="H584">
        <v>54</v>
      </c>
      <c r="I584">
        <v>14337.69</v>
      </c>
      <c r="J584">
        <v>3910.7</v>
      </c>
      <c r="K584">
        <v>1</v>
      </c>
      <c r="L584">
        <v>2024</v>
      </c>
    </row>
    <row r="585" spans="1:12" x14ac:dyDescent="0.25">
      <c r="A585" s="1" t="s">
        <v>618</v>
      </c>
      <c r="B585" s="1" t="s">
        <v>18</v>
      </c>
      <c r="C585">
        <v>63</v>
      </c>
      <c r="D585" s="1" t="s">
        <v>28</v>
      </c>
      <c r="E585">
        <v>41707.74</v>
      </c>
      <c r="F585">
        <v>30057.119999999999</v>
      </c>
      <c r="G585">
        <v>43</v>
      </c>
      <c r="H585">
        <v>30</v>
      </c>
      <c r="I585">
        <v>39740.720000000001</v>
      </c>
      <c r="J585">
        <v>4283.5200000000004</v>
      </c>
      <c r="K585">
        <v>0</v>
      </c>
      <c r="L585">
        <v>2024</v>
      </c>
    </row>
    <row r="586" spans="1:12" x14ac:dyDescent="0.25">
      <c r="A586" s="1" t="s">
        <v>619</v>
      </c>
      <c r="B586" s="1" t="s">
        <v>15</v>
      </c>
      <c r="C586">
        <v>40</v>
      </c>
      <c r="D586" s="1" t="s">
        <v>28</v>
      </c>
      <c r="E586">
        <v>32514.6</v>
      </c>
      <c r="F586">
        <v>27994.41</v>
      </c>
      <c r="G586">
        <v>49</v>
      </c>
      <c r="H586">
        <v>3</v>
      </c>
      <c r="I586">
        <v>33279.760000000002</v>
      </c>
      <c r="J586">
        <v>5228.8900000000003</v>
      </c>
      <c r="K586">
        <v>0</v>
      </c>
      <c r="L586">
        <v>2024</v>
      </c>
    </row>
    <row r="587" spans="1:12" x14ac:dyDescent="0.25">
      <c r="A587" s="1" t="s">
        <v>620</v>
      </c>
      <c r="B587" s="1" t="s">
        <v>14</v>
      </c>
      <c r="C587">
        <v>60</v>
      </c>
      <c r="D587" s="1" t="s">
        <v>28</v>
      </c>
      <c r="E587">
        <v>49310.87</v>
      </c>
      <c r="F587">
        <v>46235.12</v>
      </c>
      <c r="G587">
        <v>56</v>
      </c>
      <c r="H587">
        <v>22</v>
      </c>
      <c r="I587">
        <v>56160.59</v>
      </c>
      <c r="J587">
        <v>4431.95</v>
      </c>
      <c r="K587">
        <v>0</v>
      </c>
      <c r="L587">
        <v>2024</v>
      </c>
    </row>
    <row r="588" spans="1:12" x14ac:dyDescent="0.25">
      <c r="A588" s="1" t="s">
        <v>621</v>
      </c>
      <c r="B588" s="1" t="s">
        <v>12</v>
      </c>
      <c r="C588">
        <v>114</v>
      </c>
      <c r="D588" s="1" t="s">
        <v>28</v>
      </c>
      <c r="E588">
        <v>97944.98</v>
      </c>
      <c r="F588">
        <v>95561.83</v>
      </c>
      <c r="G588">
        <v>44</v>
      </c>
      <c r="H588">
        <v>37</v>
      </c>
      <c r="I588">
        <v>50676.26</v>
      </c>
      <c r="J588">
        <v>0</v>
      </c>
      <c r="K588">
        <v>0</v>
      </c>
      <c r="L588">
        <v>2024</v>
      </c>
    </row>
    <row r="589" spans="1:12" x14ac:dyDescent="0.25">
      <c r="A589" s="1" t="s">
        <v>622</v>
      </c>
      <c r="B589" s="1" t="s">
        <v>15</v>
      </c>
      <c r="C589">
        <v>21</v>
      </c>
      <c r="D589" s="1" t="s">
        <v>28</v>
      </c>
      <c r="E589">
        <v>24193.43</v>
      </c>
      <c r="F589">
        <v>20597.22</v>
      </c>
      <c r="G589">
        <v>50</v>
      </c>
      <c r="H589">
        <v>38</v>
      </c>
      <c r="I589">
        <v>76106.27</v>
      </c>
      <c r="J589">
        <v>6077.25</v>
      </c>
      <c r="K589">
        <v>0</v>
      </c>
      <c r="L589">
        <v>2024</v>
      </c>
    </row>
    <row r="590" spans="1:12" x14ac:dyDescent="0.25">
      <c r="A590" s="1" t="s">
        <v>623</v>
      </c>
      <c r="B590" s="1" t="s">
        <v>14</v>
      </c>
      <c r="C590">
        <v>75</v>
      </c>
      <c r="D590" s="1" t="s">
        <v>28</v>
      </c>
      <c r="E590">
        <v>68381.45</v>
      </c>
      <c r="F590">
        <v>59842.47</v>
      </c>
      <c r="G590">
        <v>10</v>
      </c>
      <c r="H590">
        <v>28</v>
      </c>
      <c r="I590">
        <v>32720.93</v>
      </c>
      <c r="J590">
        <v>6780.66</v>
      </c>
      <c r="K590">
        <v>0</v>
      </c>
      <c r="L590">
        <v>2024</v>
      </c>
    </row>
    <row r="591" spans="1:12" x14ac:dyDescent="0.25">
      <c r="A591" s="1" t="s">
        <v>624</v>
      </c>
      <c r="B591" s="1" t="s">
        <v>16</v>
      </c>
      <c r="C591">
        <v>82</v>
      </c>
      <c r="D591" s="1" t="s">
        <v>28</v>
      </c>
      <c r="E591">
        <v>69145.63</v>
      </c>
      <c r="F591">
        <v>66553.75</v>
      </c>
      <c r="G591">
        <v>24</v>
      </c>
      <c r="H591">
        <v>10</v>
      </c>
      <c r="I591">
        <v>0</v>
      </c>
      <c r="J591">
        <v>941.85</v>
      </c>
      <c r="K591">
        <v>0</v>
      </c>
      <c r="L591">
        <v>2024</v>
      </c>
    </row>
    <row r="592" spans="1:12" x14ac:dyDescent="0.25">
      <c r="A592" s="1" t="s">
        <v>625</v>
      </c>
      <c r="B592" s="1" t="s">
        <v>12</v>
      </c>
      <c r="C592">
        <v>112</v>
      </c>
      <c r="D592" s="1" t="s">
        <v>28</v>
      </c>
      <c r="E592">
        <v>111755.54</v>
      </c>
      <c r="F592">
        <v>82635.179999999993</v>
      </c>
      <c r="G592">
        <v>33</v>
      </c>
      <c r="H592">
        <v>14</v>
      </c>
      <c r="I592">
        <v>20204.71</v>
      </c>
      <c r="J592">
        <v>3023.28</v>
      </c>
      <c r="K592">
        <v>0</v>
      </c>
      <c r="L592">
        <v>2024</v>
      </c>
    </row>
    <row r="593" spans="1:12" x14ac:dyDescent="0.25">
      <c r="A593" s="1" t="s">
        <v>626</v>
      </c>
      <c r="B593" s="1" t="s">
        <v>16</v>
      </c>
      <c r="C593">
        <v>50</v>
      </c>
      <c r="D593" s="1" t="s">
        <v>28</v>
      </c>
      <c r="E593">
        <v>59809.01</v>
      </c>
      <c r="F593">
        <v>54305.21</v>
      </c>
      <c r="G593">
        <v>52</v>
      </c>
      <c r="H593">
        <v>18</v>
      </c>
      <c r="I593">
        <v>21699.8</v>
      </c>
      <c r="J593">
        <v>1195.4100000000001</v>
      </c>
      <c r="K593">
        <v>1</v>
      </c>
      <c r="L593">
        <v>2024</v>
      </c>
    </row>
    <row r="594" spans="1:12" x14ac:dyDescent="0.25">
      <c r="A594" s="1" t="s">
        <v>627</v>
      </c>
      <c r="B594" s="1" t="s">
        <v>16</v>
      </c>
      <c r="C594">
        <v>43</v>
      </c>
      <c r="D594" s="1" t="s">
        <v>28</v>
      </c>
      <c r="E594">
        <v>40288.15</v>
      </c>
      <c r="F594">
        <v>34769.1</v>
      </c>
      <c r="G594">
        <v>33</v>
      </c>
      <c r="H594">
        <v>0</v>
      </c>
      <c r="I594">
        <v>20417.45</v>
      </c>
      <c r="J594">
        <v>952.13</v>
      </c>
      <c r="K594">
        <v>0</v>
      </c>
      <c r="L594">
        <v>2024</v>
      </c>
    </row>
    <row r="595" spans="1:12" x14ac:dyDescent="0.25">
      <c r="A595" s="1" t="s">
        <v>628</v>
      </c>
      <c r="B595" s="1" t="s">
        <v>14</v>
      </c>
      <c r="C595">
        <v>9</v>
      </c>
      <c r="D595" s="1" t="s">
        <v>28</v>
      </c>
      <c r="E595">
        <v>4000</v>
      </c>
      <c r="F595">
        <v>3409.25</v>
      </c>
      <c r="G595">
        <v>46</v>
      </c>
      <c r="H595">
        <v>41</v>
      </c>
      <c r="I595">
        <v>28061.03</v>
      </c>
      <c r="J595">
        <v>0</v>
      </c>
      <c r="K595">
        <v>0</v>
      </c>
      <c r="L595">
        <v>2024</v>
      </c>
    </row>
    <row r="596" spans="1:12" x14ac:dyDescent="0.25">
      <c r="A596" s="1" t="s">
        <v>629</v>
      </c>
      <c r="B596" s="1" t="s">
        <v>15</v>
      </c>
      <c r="C596">
        <v>101</v>
      </c>
      <c r="D596" s="1" t="s">
        <v>28</v>
      </c>
      <c r="E596">
        <v>79599.520000000004</v>
      </c>
      <c r="F596">
        <v>59600.4</v>
      </c>
      <c r="G596">
        <v>65</v>
      </c>
      <c r="H596">
        <v>26</v>
      </c>
      <c r="I596">
        <v>43293.68</v>
      </c>
      <c r="J596">
        <v>7157.8</v>
      </c>
      <c r="K596">
        <v>0</v>
      </c>
      <c r="L596">
        <v>2024</v>
      </c>
    </row>
    <row r="597" spans="1:12" x14ac:dyDescent="0.25">
      <c r="A597" s="1" t="s">
        <v>630</v>
      </c>
      <c r="B597" s="1" t="s">
        <v>14</v>
      </c>
      <c r="C597">
        <v>51</v>
      </c>
      <c r="D597" s="1" t="s">
        <v>28</v>
      </c>
      <c r="E597">
        <v>40243.54</v>
      </c>
      <c r="F597">
        <v>37368.92</v>
      </c>
      <c r="G597">
        <v>54</v>
      </c>
      <c r="H597">
        <v>45</v>
      </c>
      <c r="I597">
        <v>87519.48</v>
      </c>
      <c r="J597">
        <v>472.67</v>
      </c>
      <c r="K597">
        <v>0</v>
      </c>
      <c r="L597">
        <v>2024</v>
      </c>
    </row>
    <row r="598" spans="1:12" x14ac:dyDescent="0.25">
      <c r="A598" s="1" t="s">
        <v>631</v>
      </c>
      <c r="B598" s="1" t="s">
        <v>14</v>
      </c>
      <c r="C598">
        <v>13</v>
      </c>
      <c r="D598" s="1" t="s">
        <v>28</v>
      </c>
      <c r="E598">
        <v>39598.300000000003</v>
      </c>
      <c r="F598">
        <v>28613.18</v>
      </c>
      <c r="G598">
        <v>68</v>
      </c>
      <c r="H598">
        <v>62</v>
      </c>
      <c r="I598">
        <v>20065.62</v>
      </c>
      <c r="J598">
        <v>0</v>
      </c>
      <c r="K598">
        <v>0</v>
      </c>
      <c r="L598">
        <v>2024</v>
      </c>
    </row>
    <row r="599" spans="1:12" x14ac:dyDescent="0.25">
      <c r="A599" s="1" t="s">
        <v>29</v>
      </c>
      <c r="B599" s="1" t="s">
        <v>17</v>
      </c>
      <c r="C599">
        <v>18</v>
      </c>
      <c r="D599" s="1" t="s">
        <v>28</v>
      </c>
      <c r="E599">
        <v>31539.46</v>
      </c>
      <c r="F599">
        <v>23605.74</v>
      </c>
      <c r="G599">
        <v>27</v>
      </c>
      <c r="H599">
        <v>48</v>
      </c>
      <c r="I599">
        <v>23524.89</v>
      </c>
      <c r="J599">
        <v>8291.39</v>
      </c>
      <c r="K599">
        <v>0</v>
      </c>
      <c r="L599">
        <v>2024</v>
      </c>
    </row>
    <row r="600" spans="1:12" x14ac:dyDescent="0.25">
      <c r="A600" s="1" t="s">
        <v>632</v>
      </c>
      <c r="B600" s="1" t="s">
        <v>14</v>
      </c>
      <c r="C600">
        <v>80</v>
      </c>
      <c r="D600" s="1" t="s">
        <v>28</v>
      </c>
      <c r="E600">
        <v>49164.13</v>
      </c>
      <c r="F600">
        <v>40846.11</v>
      </c>
      <c r="G600">
        <v>62</v>
      </c>
      <c r="H600">
        <v>43</v>
      </c>
      <c r="I600">
        <v>0</v>
      </c>
      <c r="J600">
        <v>0</v>
      </c>
      <c r="K600">
        <v>0</v>
      </c>
      <c r="L600">
        <v>2024</v>
      </c>
    </row>
    <row r="601" spans="1:12" x14ac:dyDescent="0.25">
      <c r="A601" s="1" t="s">
        <v>633</v>
      </c>
      <c r="B601" s="1" t="s">
        <v>16</v>
      </c>
      <c r="C601">
        <v>9</v>
      </c>
      <c r="D601" s="1" t="s">
        <v>28</v>
      </c>
      <c r="E601">
        <v>9078.5400000000009</v>
      </c>
      <c r="F601">
        <v>6512.11</v>
      </c>
      <c r="G601">
        <v>21</v>
      </c>
      <c r="H601">
        <v>0</v>
      </c>
      <c r="I601">
        <v>71046.48</v>
      </c>
      <c r="J601">
        <v>2099.5100000000002</v>
      </c>
      <c r="K601">
        <v>0</v>
      </c>
      <c r="L601">
        <v>2024</v>
      </c>
    </row>
    <row r="602" spans="1:12" x14ac:dyDescent="0.25">
      <c r="A602" s="1" t="s">
        <v>634</v>
      </c>
      <c r="B602" s="1" t="s">
        <v>16</v>
      </c>
      <c r="C602">
        <v>35</v>
      </c>
      <c r="D602" s="1" t="s">
        <v>28</v>
      </c>
      <c r="E602">
        <v>53464.87</v>
      </c>
      <c r="F602">
        <v>48146.25</v>
      </c>
      <c r="G602">
        <v>38</v>
      </c>
      <c r="H602">
        <v>37</v>
      </c>
      <c r="I602">
        <v>38761.870000000003</v>
      </c>
      <c r="J602">
        <v>0</v>
      </c>
      <c r="K602">
        <v>0</v>
      </c>
      <c r="L602">
        <v>2024</v>
      </c>
    </row>
    <row r="603" spans="1:12" x14ac:dyDescent="0.25">
      <c r="A603" s="1" t="s">
        <v>635</v>
      </c>
      <c r="B603" s="1" t="s">
        <v>17</v>
      </c>
      <c r="C603">
        <v>19</v>
      </c>
      <c r="D603" s="1" t="s">
        <v>28</v>
      </c>
      <c r="E603">
        <v>31394.37</v>
      </c>
      <c r="F603">
        <v>24109.63</v>
      </c>
      <c r="G603">
        <v>21</v>
      </c>
      <c r="H603">
        <v>31</v>
      </c>
      <c r="I603">
        <v>59920.53</v>
      </c>
      <c r="J603">
        <v>11941.82</v>
      </c>
      <c r="K603">
        <v>0</v>
      </c>
      <c r="L603">
        <v>2024</v>
      </c>
    </row>
    <row r="604" spans="1:12" x14ac:dyDescent="0.25">
      <c r="A604" s="1" t="s">
        <v>636</v>
      </c>
      <c r="B604" s="1" t="s">
        <v>15</v>
      </c>
      <c r="C604">
        <v>46</v>
      </c>
      <c r="D604" s="1" t="s">
        <v>28</v>
      </c>
      <c r="E604">
        <v>47575.26</v>
      </c>
      <c r="F604">
        <v>41870.720000000001</v>
      </c>
      <c r="G604">
        <v>57</v>
      </c>
      <c r="H604">
        <v>22</v>
      </c>
      <c r="I604">
        <v>36171.32</v>
      </c>
      <c r="J604">
        <v>1498.27</v>
      </c>
      <c r="K604">
        <v>0</v>
      </c>
      <c r="L604">
        <v>2024</v>
      </c>
    </row>
    <row r="605" spans="1:12" x14ac:dyDescent="0.25">
      <c r="A605" s="1" t="s">
        <v>637</v>
      </c>
      <c r="B605" s="1" t="s">
        <v>17</v>
      </c>
      <c r="C605">
        <v>65</v>
      </c>
      <c r="D605" s="1" t="s">
        <v>28</v>
      </c>
      <c r="E605">
        <v>54247.61</v>
      </c>
      <c r="F605">
        <v>43354.5</v>
      </c>
      <c r="G605">
        <v>83</v>
      </c>
      <c r="H605">
        <v>28</v>
      </c>
      <c r="I605">
        <v>55894.79</v>
      </c>
      <c r="J605">
        <v>8553.69</v>
      </c>
      <c r="K605">
        <v>0</v>
      </c>
      <c r="L605">
        <v>2024</v>
      </c>
    </row>
    <row r="606" spans="1:12" x14ac:dyDescent="0.25">
      <c r="A606" s="1" t="s">
        <v>638</v>
      </c>
      <c r="B606" s="1" t="s">
        <v>16</v>
      </c>
      <c r="C606">
        <v>10</v>
      </c>
      <c r="D606" s="1" t="s">
        <v>28</v>
      </c>
      <c r="E606">
        <v>6630.72</v>
      </c>
      <c r="F606">
        <v>5640.03</v>
      </c>
      <c r="G606">
        <v>10</v>
      </c>
      <c r="H606">
        <v>42</v>
      </c>
      <c r="I606">
        <v>55023.09</v>
      </c>
      <c r="J606">
        <v>8469.52</v>
      </c>
      <c r="K606">
        <v>0</v>
      </c>
      <c r="L606">
        <v>2024</v>
      </c>
    </row>
    <row r="607" spans="1:12" x14ac:dyDescent="0.25">
      <c r="A607" s="1" t="s">
        <v>639</v>
      </c>
      <c r="B607" s="1" t="s">
        <v>15</v>
      </c>
      <c r="C607">
        <v>43</v>
      </c>
      <c r="D607" s="1" t="s">
        <v>28</v>
      </c>
      <c r="E607">
        <v>32918.239999999998</v>
      </c>
      <c r="F607">
        <v>34105.99</v>
      </c>
      <c r="G607">
        <v>44</v>
      </c>
      <c r="H607">
        <v>11</v>
      </c>
      <c r="I607">
        <v>37562.76</v>
      </c>
      <c r="J607">
        <v>0</v>
      </c>
      <c r="K607">
        <v>0</v>
      </c>
      <c r="L607">
        <v>2024</v>
      </c>
    </row>
    <row r="608" spans="1:12" x14ac:dyDescent="0.25">
      <c r="A608" s="1" t="s">
        <v>640</v>
      </c>
      <c r="B608" s="1" t="s">
        <v>17</v>
      </c>
      <c r="C608">
        <v>93</v>
      </c>
      <c r="D608" s="1" t="s">
        <v>28</v>
      </c>
      <c r="E608">
        <v>80640.679999999993</v>
      </c>
      <c r="F608">
        <v>72406.02</v>
      </c>
      <c r="G608">
        <v>49</v>
      </c>
      <c r="H608">
        <v>48</v>
      </c>
      <c r="I608">
        <v>0</v>
      </c>
      <c r="J608">
        <v>8627.36</v>
      </c>
      <c r="K608">
        <v>0</v>
      </c>
      <c r="L608">
        <v>2024</v>
      </c>
    </row>
    <row r="609" spans="1:12" x14ac:dyDescent="0.25">
      <c r="A609" s="1" t="s">
        <v>641</v>
      </c>
      <c r="B609" s="1" t="s">
        <v>18</v>
      </c>
      <c r="C609">
        <v>54</v>
      </c>
      <c r="D609" s="1" t="s">
        <v>28</v>
      </c>
      <c r="E609">
        <v>57233.11</v>
      </c>
      <c r="F609">
        <v>43022.75</v>
      </c>
      <c r="G609">
        <v>59</v>
      </c>
      <c r="H609">
        <v>25</v>
      </c>
      <c r="I609">
        <v>34454.93</v>
      </c>
      <c r="J609">
        <v>9213.8700000000008</v>
      </c>
      <c r="K609">
        <v>0</v>
      </c>
      <c r="L609">
        <v>2024</v>
      </c>
    </row>
    <row r="610" spans="1:12" x14ac:dyDescent="0.25">
      <c r="A610" s="1" t="s">
        <v>642</v>
      </c>
      <c r="B610" s="1" t="s">
        <v>17</v>
      </c>
      <c r="C610">
        <v>16</v>
      </c>
      <c r="D610" s="1" t="s">
        <v>28</v>
      </c>
      <c r="E610">
        <v>34177.550000000003</v>
      </c>
      <c r="F610">
        <v>36854.629999999997</v>
      </c>
      <c r="G610">
        <v>59</v>
      </c>
      <c r="H610">
        <v>0</v>
      </c>
      <c r="I610">
        <v>19562.490000000002</v>
      </c>
      <c r="J610">
        <v>1188.0999999999999</v>
      </c>
      <c r="K610">
        <v>0</v>
      </c>
      <c r="L610">
        <v>2024</v>
      </c>
    </row>
    <row r="611" spans="1:12" x14ac:dyDescent="0.25">
      <c r="A611" s="1" t="s">
        <v>643</v>
      </c>
      <c r="B611" s="1" t="s">
        <v>17</v>
      </c>
      <c r="C611">
        <v>60</v>
      </c>
      <c r="D611" s="1" t="s">
        <v>28</v>
      </c>
      <c r="E611">
        <v>54190.6</v>
      </c>
      <c r="F611">
        <v>36058.720000000001</v>
      </c>
      <c r="G611">
        <v>51</v>
      </c>
      <c r="H611">
        <v>55</v>
      </c>
      <c r="I611">
        <v>65489.45</v>
      </c>
      <c r="J611">
        <v>0</v>
      </c>
      <c r="K611">
        <v>0</v>
      </c>
      <c r="L611">
        <v>2024</v>
      </c>
    </row>
    <row r="612" spans="1:12" x14ac:dyDescent="0.25">
      <c r="A612" s="1" t="s">
        <v>644</v>
      </c>
      <c r="B612" s="1" t="s">
        <v>18</v>
      </c>
      <c r="C612">
        <v>3</v>
      </c>
      <c r="D612" s="1" t="s">
        <v>28</v>
      </c>
      <c r="E612">
        <v>4000</v>
      </c>
      <c r="F612">
        <v>3580.42</v>
      </c>
      <c r="G612">
        <v>46</v>
      </c>
      <c r="H612">
        <v>11</v>
      </c>
      <c r="I612">
        <v>26704.73</v>
      </c>
      <c r="J612">
        <v>9321.2800000000007</v>
      </c>
      <c r="K612">
        <v>0</v>
      </c>
      <c r="L612">
        <v>2024</v>
      </c>
    </row>
    <row r="613" spans="1:12" x14ac:dyDescent="0.25">
      <c r="A613" s="1" t="s">
        <v>645</v>
      </c>
      <c r="B613" s="1" t="s">
        <v>15</v>
      </c>
      <c r="C613">
        <v>19</v>
      </c>
      <c r="D613" s="1" t="s">
        <v>28</v>
      </c>
      <c r="E613">
        <v>17394.349999999999</v>
      </c>
      <c r="F613">
        <v>11550.33</v>
      </c>
      <c r="G613">
        <v>18</v>
      </c>
      <c r="H613">
        <v>53</v>
      </c>
      <c r="I613">
        <v>61725.35</v>
      </c>
      <c r="J613">
        <v>7588.72</v>
      </c>
      <c r="K613">
        <v>0</v>
      </c>
      <c r="L613">
        <v>2024</v>
      </c>
    </row>
    <row r="614" spans="1:12" x14ac:dyDescent="0.25">
      <c r="A614" s="1" t="s">
        <v>646</v>
      </c>
      <c r="B614" s="1" t="s">
        <v>14</v>
      </c>
      <c r="C614">
        <v>18</v>
      </c>
      <c r="D614" s="1" t="s">
        <v>28</v>
      </c>
      <c r="E614">
        <v>13763.05</v>
      </c>
      <c r="F614">
        <v>9807.01</v>
      </c>
      <c r="G614">
        <v>59</v>
      </c>
      <c r="H614">
        <v>59</v>
      </c>
      <c r="I614">
        <v>81992.639999999999</v>
      </c>
      <c r="J614">
        <v>0</v>
      </c>
      <c r="K614">
        <v>0</v>
      </c>
      <c r="L614">
        <v>2024</v>
      </c>
    </row>
    <row r="615" spans="1:12" x14ac:dyDescent="0.25">
      <c r="A615" s="1" t="s">
        <v>647</v>
      </c>
      <c r="B615" s="1" t="s">
        <v>17</v>
      </c>
      <c r="C615">
        <v>77</v>
      </c>
      <c r="D615" s="1" t="s">
        <v>28</v>
      </c>
      <c r="E615">
        <v>63603.29</v>
      </c>
      <c r="F615">
        <v>66655.789999999994</v>
      </c>
      <c r="G615">
        <v>37</v>
      </c>
      <c r="H615">
        <v>26</v>
      </c>
      <c r="I615">
        <v>86153.12</v>
      </c>
      <c r="J615">
        <v>0</v>
      </c>
      <c r="K615">
        <v>0</v>
      </c>
      <c r="L615">
        <v>2024</v>
      </c>
    </row>
    <row r="616" spans="1:12" x14ac:dyDescent="0.25">
      <c r="A616" s="1" t="s">
        <v>648</v>
      </c>
      <c r="B616" s="1" t="s">
        <v>12</v>
      </c>
      <c r="C616">
        <v>18</v>
      </c>
      <c r="D616" s="1" t="s">
        <v>28</v>
      </c>
      <c r="E616">
        <v>11987.92</v>
      </c>
      <c r="F616">
        <v>9894.17</v>
      </c>
      <c r="G616">
        <v>46</v>
      </c>
      <c r="H616">
        <v>37</v>
      </c>
      <c r="I616">
        <v>56027.1</v>
      </c>
      <c r="J616">
        <v>3090.86</v>
      </c>
      <c r="K616">
        <v>1</v>
      </c>
      <c r="L616">
        <v>2024</v>
      </c>
    </row>
    <row r="617" spans="1:12" x14ac:dyDescent="0.25">
      <c r="A617" s="1" t="s">
        <v>649</v>
      </c>
      <c r="B617" s="1" t="s">
        <v>17</v>
      </c>
      <c r="C617">
        <v>116</v>
      </c>
      <c r="D617" s="1" t="s">
        <v>28</v>
      </c>
      <c r="E617">
        <v>94421.39</v>
      </c>
      <c r="F617">
        <v>88102.720000000001</v>
      </c>
      <c r="G617">
        <v>37</v>
      </c>
      <c r="H617">
        <v>19</v>
      </c>
      <c r="I617">
        <v>92947.06</v>
      </c>
      <c r="J617">
        <v>2117</v>
      </c>
      <c r="K617">
        <v>0</v>
      </c>
      <c r="L617">
        <v>2024</v>
      </c>
    </row>
    <row r="618" spans="1:12" x14ac:dyDescent="0.25">
      <c r="A618" s="1" t="s">
        <v>650</v>
      </c>
      <c r="B618" s="1" t="s">
        <v>12</v>
      </c>
      <c r="C618">
        <v>22</v>
      </c>
      <c r="D618" s="1" t="s">
        <v>28</v>
      </c>
      <c r="E618">
        <v>26157.61</v>
      </c>
      <c r="F618">
        <v>17848.03</v>
      </c>
      <c r="G618">
        <v>42</v>
      </c>
      <c r="H618">
        <v>12</v>
      </c>
      <c r="I618">
        <v>56992.12</v>
      </c>
      <c r="J618">
        <v>4010.77</v>
      </c>
      <c r="K618">
        <v>0</v>
      </c>
      <c r="L618">
        <v>2024</v>
      </c>
    </row>
    <row r="619" spans="1:12" x14ac:dyDescent="0.25">
      <c r="A619" s="1" t="s">
        <v>651</v>
      </c>
      <c r="B619" s="1" t="s">
        <v>16</v>
      </c>
      <c r="C619">
        <v>66</v>
      </c>
      <c r="D619" s="1" t="s">
        <v>28</v>
      </c>
      <c r="E619">
        <v>56932.51</v>
      </c>
      <c r="F619">
        <v>49261.43</v>
      </c>
      <c r="G619">
        <v>22</v>
      </c>
      <c r="H619">
        <v>28</v>
      </c>
      <c r="I619">
        <v>22021.66</v>
      </c>
      <c r="J619">
        <v>0</v>
      </c>
      <c r="K619">
        <v>1</v>
      </c>
      <c r="L619">
        <v>2024</v>
      </c>
    </row>
    <row r="620" spans="1:12" x14ac:dyDescent="0.25">
      <c r="A620" s="1" t="s">
        <v>652</v>
      </c>
      <c r="B620" s="1" t="s">
        <v>18</v>
      </c>
      <c r="C620">
        <v>93</v>
      </c>
      <c r="D620" s="1" t="s">
        <v>28</v>
      </c>
      <c r="E620">
        <v>96423.7</v>
      </c>
      <c r="F620">
        <v>65820.639999999999</v>
      </c>
      <c r="G620">
        <v>37</v>
      </c>
      <c r="H620">
        <v>19</v>
      </c>
      <c r="I620">
        <v>17814.759999999998</v>
      </c>
      <c r="J620">
        <v>88.15</v>
      </c>
      <c r="K620">
        <v>0</v>
      </c>
      <c r="L620">
        <v>2024</v>
      </c>
    </row>
    <row r="621" spans="1:12" x14ac:dyDescent="0.25">
      <c r="A621" s="1" t="s">
        <v>653</v>
      </c>
      <c r="B621" s="1" t="s">
        <v>15</v>
      </c>
      <c r="C621">
        <v>80</v>
      </c>
      <c r="D621" s="1" t="s">
        <v>28</v>
      </c>
      <c r="E621">
        <v>86030.53</v>
      </c>
      <c r="F621">
        <v>76934.320000000007</v>
      </c>
      <c r="G621">
        <v>50</v>
      </c>
      <c r="H621">
        <v>67</v>
      </c>
      <c r="I621">
        <v>48296.94</v>
      </c>
      <c r="J621">
        <v>1908.81</v>
      </c>
      <c r="K621">
        <v>0</v>
      </c>
      <c r="L621">
        <v>2024</v>
      </c>
    </row>
    <row r="622" spans="1:12" x14ac:dyDescent="0.25">
      <c r="A622" s="1" t="s">
        <v>654</v>
      </c>
      <c r="B622" s="1" t="s">
        <v>14</v>
      </c>
      <c r="C622">
        <v>71</v>
      </c>
      <c r="D622" s="1" t="s">
        <v>28</v>
      </c>
      <c r="E622">
        <v>61330.9</v>
      </c>
      <c r="F622">
        <v>58764.72</v>
      </c>
      <c r="G622">
        <v>41</v>
      </c>
      <c r="H622">
        <v>21</v>
      </c>
      <c r="I622">
        <v>69096.2</v>
      </c>
      <c r="J622">
        <v>0</v>
      </c>
      <c r="K622">
        <v>0</v>
      </c>
      <c r="L622">
        <v>2024</v>
      </c>
    </row>
    <row r="623" spans="1:12" x14ac:dyDescent="0.25">
      <c r="A623" s="1" t="s">
        <v>655</v>
      </c>
      <c r="B623" s="1" t="s">
        <v>18</v>
      </c>
      <c r="C623">
        <v>108</v>
      </c>
      <c r="D623" s="1" t="s">
        <v>28</v>
      </c>
      <c r="E623">
        <v>94941.61</v>
      </c>
      <c r="F623">
        <v>70724.72</v>
      </c>
      <c r="G623">
        <v>30</v>
      </c>
      <c r="H623">
        <v>3</v>
      </c>
      <c r="I623">
        <v>28807.3</v>
      </c>
      <c r="J623">
        <v>717.14</v>
      </c>
      <c r="K623">
        <v>0</v>
      </c>
      <c r="L623">
        <v>2024</v>
      </c>
    </row>
    <row r="624" spans="1:12" x14ac:dyDescent="0.25">
      <c r="A624" s="1" t="s">
        <v>656</v>
      </c>
      <c r="B624" s="1" t="s">
        <v>14</v>
      </c>
      <c r="C624">
        <v>38</v>
      </c>
      <c r="D624" s="1" t="s">
        <v>28</v>
      </c>
      <c r="E624">
        <v>34292.71</v>
      </c>
      <c r="F624">
        <v>25306.74</v>
      </c>
      <c r="G624">
        <v>27</v>
      </c>
      <c r="H624">
        <v>50</v>
      </c>
      <c r="I624">
        <v>6093</v>
      </c>
      <c r="J624">
        <v>4333.2</v>
      </c>
      <c r="K624">
        <v>0</v>
      </c>
      <c r="L624">
        <v>2024</v>
      </c>
    </row>
    <row r="625" spans="1:12" x14ac:dyDescent="0.25">
      <c r="A625" s="1" t="s">
        <v>657</v>
      </c>
      <c r="B625" s="1" t="s">
        <v>14</v>
      </c>
      <c r="C625">
        <v>49</v>
      </c>
      <c r="D625" s="1" t="s">
        <v>28</v>
      </c>
      <c r="E625">
        <v>55324.18</v>
      </c>
      <c r="F625">
        <v>38038.980000000003</v>
      </c>
      <c r="G625">
        <v>65</v>
      </c>
      <c r="H625">
        <v>19</v>
      </c>
      <c r="I625">
        <v>24031.22</v>
      </c>
      <c r="J625">
        <v>1146.94</v>
      </c>
      <c r="K625">
        <v>0</v>
      </c>
      <c r="L625">
        <v>2024</v>
      </c>
    </row>
    <row r="626" spans="1:12" x14ac:dyDescent="0.25">
      <c r="A626" s="1" t="s">
        <v>658</v>
      </c>
      <c r="B626" s="1" t="s">
        <v>15</v>
      </c>
      <c r="C626">
        <v>75</v>
      </c>
      <c r="D626" s="1" t="s">
        <v>28</v>
      </c>
      <c r="E626">
        <v>65102.49</v>
      </c>
      <c r="F626">
        <v>55940.74</v>
      </c>
      <c r="G626">
        <v>52</v>
      </c>
      <c r="H626">
        <v>23</v>
      </c>
      <c r="I626">
        <v>0</v>
      </c>
      <c r="J626">
        <v>501.82</v>
      </c>
      <c r="K626">
        <v>0</v>
      </c>
      <c r="L626">
        <v>2024</v>
      </c>
    </row>
    <row r="627" spans="1:12" x14ac:dyDescent="0.25">
      <c r="A627" s="1" t="s">
        <v>659</v>
      </c>
      <c r="B627" s="1" t="s">
        <v>14</v>
      </c>
      <c r="C627">
        <v>37</v>
      </c>
      <c r="D627" s="1" t="s">
        <v>28</v>
      </c>
      <c r="E627">
        <v>33114.199999999997</v>
      </c>
      <c r="F627">
        <v>24588.01</v>
      </c>
      <c r="G627">
        <v>20</v>
      </c>
      <c r="H627">
        <v>42</v>
      </c>
      <c r="I627">
        <v>33834.03</v>
      </c>
      <c r="J627">
        <v>4448.97</v>
      </c>
      <c r="K627">
        <v>0</v>
      </c>
      <c r="L627">
        <v>2024</v>
      </c>
    </row>
    <row r="628" spans="1:12" x14ac:dyDescent="0.25">
      <c r="A628" s="1" t="s">
        <v>660</v>
      </c>
      <c r="B628" s="1" t="s">
        <v>14</v>
      </c>
      <c r="C628">
        <v>44</v>
      </c>
      <c r="D628" s="1" t="s">
        <v>28</v>
      </c>
      <c r="E628">
        <v>38851.370000000003</v>
      </c>
      <c r="F628">
        <v>30318.2</v>
      </c>
      <c r="G628">
        <v>17</v>
      </c>
      <c r="H628">
        <v>21</v>
      </c>
      <c r="I628">
        <v>30351.64</v>
      </c>
      <c r="J628">
        <v>227.81</v>
      </c>
      <c r="K628">
        <v>0</v>
      </c>
      <c r="L628">
        <v>2024</v>
      </c>
    </row>
    <row r="629" spans="1:12" x14ac:dyDescent="0.25">
      <c r="A629" s="1" t="s">
        <v>661</v>
      </c>
      <c r="B629" s="1" t="s">
        <v>18</v>
      </c>
      <c r="C629">
        <v>71</v>
      </c>
      <c r="D629" s="1" t="s">
        <v>28</v>
      </c>
      <c r="E629">
        <v>68579.17</v>
      </c>
      <c r="F629">
        <v>67470.210000000006</v>
      </c>
      <c r="G629">
        <v>63</v>
      </c>
      <c r="H629">
        <v>7</v>
      </c>
      <c r="I629">
        <v>43628.39</v>
      </c>
      <c r="J629">
        <v>0</v>
      </c>
      <c r="K629">
        <v>1</v>
      </c>
      <c r="L629">
        <v>2024</v>
      </c>
    </row>
    <row r="630" spans="1:12" x14ac:dyDescent="0.25">
      <c r="A630" s="1" t="s">
        <v>662</v>
      </c>
      <c r="B630" s="1" t="s">
        <v>14</v>
      </c>
      <c r="C630">
        <v>96</v>
      </c>
      <c r="D630" s="1" t="s">
        <v>28</v>
      </c>
      <c r="E630">
        <v>93763.27</v>
      </c>
      <c r="F630">
        <v>82966.36</v>
      </c>
      <c r="G630">
        <v>69</v>
      </c>
      <c r="H630">
        <v>54</v>
      </c>
      <c r="I630">
        <v>60614.8</v>
      </c>
      <c r="J630">
        <v>0</v>
      </c>
      <c r="K630">
        <v>1</v>
      </c>
      <c r="L630">
        <v>2024</v>
      </c>
    </row>
    <row r="631" spans="1:12" x14ac:dyDescent="0.25">
      <c r="A631" s="1" t="s">
        <v>663</v>
      </c>
      <c r="B631" s="1" t="s">
        <v>15</v>
      </c>
      <c r="C631">
        <v>84</v>
      </c>
      <c r="D631" s="1" t="s">
        <v>28</v>
      </c>
      <c r="E631">
        <v>78304.42</v>
      </c>
      <c r="F631">
        <v>45631.87</v>
      </c>
      <c r="G631">
        <v>32</v>
      </c>
      <c r="H631">
        <v>36</v>
      </c>
      <c r="I631">
        <v>27995.84</v>
      </c>
      <c r="J631">
        <v>1791.12</v>
      </c>
      <c r="K631">
        <v>0</v>
      </c>
      <c r="L631">
        <v>2024</v>
      </c>
    </row>
    <row r="632" spans="1:12" x14ac:dyDescent="0.25">
      <c r="A632" s="1" t="s">
        <v>664</v>
      </c>
      <c r="B632" s="1" t="s">
        <v>17</v>
      </c>
      <c r="C632">
        <v>67</v>
      </c>
      <c r="D632" s="1" t="s">
        <v>28</v>
      </c>
      <c r="E632">
        <v>62022.81</v>
      </c>
      <c r="F632">
        <v>60241.68</v>
      </c>
      <c r="G632">
        <v>38</v>
      </c>
      <c r="H632">
        <v>53</v>
      </c>
      <c r="I632">
        <v>5885.45</v>
      </c>
      <c r="J632">
        <v>5811.41</v>
      </c>
      <c r="K632">
        <v>0</v>
      </c>
      <c r="L632">
        <v>2024</v>
      </c>
    </row>
    <row r="633" spans="1:12" x14ac:dyDescent="0.25">
      <c r="A633" s="1" t="s">
        <v>665</v>
      </c>
      <c r="B633" s="1" t="s">
        <v>16</v>
      </c>
      <c r="C633">
        <v>77</v>
      </c>
      <c r="D633" s="1" t="s">
        <v>28</v>
      </c>
      <c r="E633">
        <v>61525.46</v>
      </c>
      <c r="F633">
        <v>56883.43</v>
      </c>
      <c r="G633">
        <v>17</v>
      </c>
      <c r="H633">
        <v>29</v>
      </c>
      <c r="I633">
        <v>60215.79</v>
      </c>
      <c r="J633">
        <v>8405.52</v>
      </c>
      <c r="K633">
        <v>0</v>
      </c>
      <c r="L633">
        <v>2024</v>
      </c>
    </row>
    <row r="634" spans="1:12" x14ac:dyDescent="0.25">
      <c r="A634" s="1" t="s">
        <v>666</v>
      </c>
      <c r="B634" s="1" t="s">
        <v>18</v>
      </c>
      <c r="C634">
        <v>20</v>
      </c>
      <c r="D634" s="1" t="s">
        <v>28</v>
      </c>
      <c r="E634">
        <v>21307.73</v>
      </c>
      <c r="F634">
        <v>20616.689999999999</v>
      </c>
      <c r="G634">
        <v>43</v>
      </c>
      <c r="H634">
        <v>30</v>
      </c>
      <c r="I634">
        <v>8925.85</v>
      </c>
      <c r="J634">
        <v>0</v>
      </c>
      <c r="K634">
        <v>0</v>
      </c>
      <c r="L634">
        <v>2024</v>
      </c>
    </row>
    <row r="635" spans="1:12" x14ac:dyDescent="0.25">
      <c r="A635" s="1" t="s">
        <v>667</v>
      </c>
      <c r="B635" s="1" t="s">
        <v>14</v>
      </c>
      <c r="C635">
        <v>104</v>
      </c>
      <c r="D635" s="1" t="s">
        <v>28</v>
      </c>
      <c r="E635">
        <v>82024.69</v>
      </c>
      <c r="F635">
        <v>72491.78</v>
      </c>
      <c r="G635">
        <v>42</v>
      </c>
      <c r="H635">
        <v>0</v>
      </c>
      <c r="I635">
        <v>17158.28</v>
      </c>
      <c r="J635">
        <v>2450.9299999999998</v>
      </c>
      <c r="K635">
        <v>0</v>
      </c>
      <c r="L635">
        <v>2024</v>
      </c>
    </row>
    <row r="636" spans="1:12" x14ac:dyDescent="0.25">
      <c r="A636" s="1" t="s">
        <v>668</v>
      </c>
      <c r="B636" s="1" t="s">
        <v>12</v>
      </c>
      <c r="C636">
        <v>49</v>
      </c>
      <c r="D636" s="1" t="s">
        <v>28</v>
      </c>
      <c r="E636">
        <v>42748.639999999999</v>
      </c>
      <c r="F636">
        <v>27612.55</v>
      </c>
      <c r="G636">
        <v>15</v>
      </c>
      <c r="H636">
        <v>9</v>
      </c>
      <c r="I636">
        <v>67085.600000000006</v>
      </c>
      <c r="J636">
        <v>1466.03</v>
      </c>
      <c r="K636">
        <v>0</v>
      </c>
      <c r="L636">
        <v>2024</v>
      </c>
    </row>
    <row r="637" spans="1:12" x14ac:dyDescent="0.25">
      <c r="A637" s="1" t="s">
        <v>669</v>
      </c>
      <c r="B637" s="1" t="s">
        <v>18</v>
      </c>
      <c r="C637">
        <v>18</v>
      </c>
      <c r="D637" s="1" t="s">
        <v>28</v>
      </c>
      <c r="E637">
        <v>30153.55</v>
      </c>
      <c r="F637">
        <v>21689.4</v>
      </c>
      <c r="G637">
        <v>63</v>
      </c>
      <c r="H637">
        <v>44</v>
      </c>
      <c r="I637">
        <v>39230.879999999997</v>
      </c>
      <c r="J637">
        <v>2433.2800000000002</v>
      </c>
      <c r="K637">
        <v>0</v>
      </c>
      <c r="L637">
        <v>2024</v>
      </c>
    </row>
    <row r="638" spans="1:12" x14ac:dyDescent="0.25">
      <c r="A638" s="1" t="s">
        <v>670</v>
      </c>
      <c r="B638" s="1" t="s">
        <v>18</v>
      </c>
      <c r="C638">
        <v>57</v>
      </c>
      <c r="D638" s="1" t="s">
        <v>671</v>
      </c>
      <c r="E638">
        <v>54589.54</v>
      </c>
      <c r="F638">
        <v>40061.79</v>
      </c>
      <c r="G638">
        <v>48</v>
      </c>
      <c r="H638">
        <v>21</v>
      </c>
      <c r="I638">
        <v>0</v>
      </c>
      <c r="J638">
        <v>3978.14</v>
      </c>
      <c r="K638">
        <v>1</v>
      </c>
      <c r="L638">
        <v>2024</v>
      </c>
    </row>
    <row r="639" spans="1:12" x14ac:dyDescent="0.25">
      <c r="A639" s="1" t="s">
        <v>672</v>
      </c>
      <c r="B639" s="1" t="s">
        <v>12</v>
      </c>
      <c r="C639">
        <v>64</v>
      </c>
      <c r="D639" s="1" t="s">
        <v>671</v>
      </c>
      <c r="E639">
        <v>61777.71</v>
      </c>
      <c r="F639">
        <v>38086.92</v>
      </c>
      <c r="G639">
        <v>12</v>
      </c>
      <c r="H639">
        <v>8</v>
      </c>
      <c r="I639">
        <v>33455.35</v>
      </c>
      <c r="J639">
        <v>0</v>
      </c>
      <c r="K639">
        <v>0</v>
      </c>
      <c r="L639">
        <v>2024</v>
      </c>
    </row>
    <row r="640" spans="1:12" x14ac:dyDescent="0.25">
      <c r="A640" s="1" t="s">
        <v>673</v>
      </c>
      <c r="B640" s="1" t="s">
        <v>18</v>
      </c>
      <c r="C640">
        <v>56</v>
      </c>
      <c r="D640" s="1" t="s">
        <v>671</v>
      </c>
      <c r="E640">
        <v>46822.85</v>
      </c>
      <c r="F640">
        <v>50560.98</v>
      </c>
      <c r="G640">
        <v>42</v>
      </c>
      <c r="H640">
        <v>16</v>
      </c>
      <c r="I640">
        <v>7802.97</v>
      </c>
      <c r="J640">
        <v>0</v>
      </c>
      <c r="K640">
        <v>0</v>
      </c>
      <c r="L640">
        <v>2024</v>
      </c>
    </row>
    <row r="641" spans="1:12" x14ac:dyDescent="0.25">
      <c r="A641" s="1" t="s">
        <v>674</v>
      </c>
      <c r="B641" s="1" t="s">
        <v>17</v>
      </c>
      <c r="C641">
        <v>56</v>
      </c>
      <c r="D641" s="1" t="s">
        <v>671</v>
      </c>
      <c r="E641">
        <v>51910.11</v>
      </c>
      <c r="F641">
        <v>32376.58</v>
      </c>
      <c r="G641">
        <v>22</v>
      </c>
      <c r="H641">
        <v>31</v>
      </c>
      <c r="I641">
        <v>0</v>
      </c>
      <c r="J641">
        <v>1548.45</v>
      </c>
      <c r="K641">
        <v>0</v>
      </c>
      <c r="L641">
        <v>2024</v>
      </c>
    </row>
    <row r="642" spans="1:12" x14ac:dyDescent="0.25">
      <c r="A642" s="1" t="s">
        <v>675</v>
      </c>
      <c r="B642" s="1" t="s">
        <v>12</v>
      </c>
      <c r="C642">
        <v>14</v>
      </c>
      <c r="D642" s="1" t="s">
        <v>671</v>
      </c>
      <c r="E642">
        <v>30438.6</v>
      </c>
      <c r="F642">
        <v>25810.97</v>
      </c>
      <c r="G642">
        <v>24</v>
      </c>
      <c r="H642">
        <v>2</v>
      </c>
      <c r="I642">
        <v>33887.870000000003</v>
      </c>
      <c r="J642">
        <v>9958.85</v>
      </c>
      <c r="K642">
        <v>0</v>
      </c>
      <c r="L642">
        <v>2024</v>
      </c>
    </row>
    <row r="643" spans="1:12" x14ac:dyDescent="0.25">
      <c r="A643" s="1" t="s">
        <v>676</v>
      </c>
      <c r="B643" s="1" t="s">
        <v>17</v>
      </c>
      <c r="C643">
        <v>113</v>
      </c>
      <c r="D643" s="1" t="s">
        <v>671</v>
      </c>
      <c r="E643">
        <v>102045.84</v>
      </c>
      <c r="F643">
        <v>83222.02</v>
      </c>
      <c r="G643">
        <v>18</v>
      </c>
      <c r="H643">
        <v>42</v>
      </c>
      <c r="I643">
        <v>37133.96</v>
      </c>
      <c r="J643">
        <v>1954.25</v>
      </c>
      <c r="K643">
        <v>0</v>
      </c>
      <c r="L643">
        <v>2024</v>
      </c>
    </row>
    <row r="644" spans="1:12" x14ac:dyDescent="0.25">
      <c r="A644" s="1" t="s">
        <v>677</v>
      </c>
      <c r="B644" s="1" t="s">
        <v>16</v>
      </c>
      <c r="C644">
        <v>114</v>
      </c>
      <c r="D644" s="1" t="s">
        <v>671</v>
      </c>
      <c r="E644">
        <v>93374.24</v>
      </c>
      <c r="F644">
        <v>61224.37</v>
      </c>
      <c r="G644">
        <v>28</v>
      </c>
      <c r="H644">
        <v>35</v>
      </c>
      <c r="I644">
        <v>39824.660000000003</v>
      </c>
      <c r="J644">
        <v>7569.98</v>
      </c>
      <c r="K644">
        <v>0</v>
      </c>
      <c r="L644">
        <v>2024</v>
      </c>
    </row>
    <row r="645" spans="1:12" x14ac:dyDescent="0.25">
      <c r="A645" s="1" t="s">
        <v>678</v>
      </c>
      <c r="B645" s="1" t="s">
        <v>18</v>
      </c>
      <c r="C645">
        <v>15</v>
      </c>
      <c r="D645" s="1" t="s">
        <v>671</v>
      </c>
      <c r="E645">
        <v>15939.54</v>
      </c>
      <c r="F645">
        <v>12351.2</v>
      </c>
      <c r="G645">
        <v>26</v>
      </c>
      <c r="H645">
        <v>12</v>
      </c>
      <c r="I645">
        <v>40715.68</v>
      </c>
      <c r="J645">
        <v>4562.8100000000004</v>
      </c>
      <c r="K645">
        <v>0</v>
      </c>
      <c r="L645">
        <v>2024</v>
      </c>
    </row>
    <row r="646" spans="1:12" x14ac:dyDescent="0.25">
      <c r="A646" s="1" t="s">
        <v>679</v>
      </c>
      <c r="B646" s="1" t="s">
        <v>12</v>
      </c>
      <c r="C646">
        <v>26</v>
      </c>
      <c r="D646" s="1" t="s">
        <v>671</v>
      </c>
      <c r="E646">
        <v>20445.38</v>
      </c>
      <c r="F646">
        <v>18875.080000000002</v>
      </c>
      <c r="G646">
        <v>10</v>
      </c>
      <c r="H646">
        <v>34</v>
      </c>
      <c r="I646">
        <v>0</v>
      </c>
      <c r="J646">
        <v>0</v>
      </c>
      <c r="K646">
        <v>0</v>
      </c>
      <c r="L646">
        <v>2024</v>
      </c>
    </row>
    <row r="647" spans="1:12" x14ac:dyDescent="0.25">
      <c r="A647" s="1" t="s">
        <v>680</v>
      </c>
      <c r="B647" s="1" t="s">
        <v>17</v>
      </c>
      <c r="C647">
        <v>66</v>
      </c>
      <c r="D647" s="1" t="s">
        <v>671</v>
      </c>
      <c r="E647">
        <v>58399.39</v>
      </c>
      <c r="F647">
        <v>51346.33</v>
      </c>
      <c r="G647">
        <v>35</v>
      </c>
      <c r="H647">
        <v>22</v>
      </c>
      <c r="I647">
        <v>30541.78</v>
      </c>
      <c r="J647">
        <v>931.81</v>
      </c>
      <c r="K647">
        <v>0</v>
      </c>
      <c r="L647">
        <v>2024</v>
      </c>
    </row>
    <row r="648" spans="1:12" x14ac:dyDescent="0.25">
      <c r="A648" s="1" t="s">
        <v>681</v>
      </c>
      <c r="B648" s="1" t="s">
        <v>12</v>
      </c>
      <c r="C648">
        <v>28</v>
      </c>
      <c r="D648" s="1" t="s">
        <v>671</v>
      </c>
      <c r="E648">
        <v>40797.11</v>
      </c>
      <c r="F648">
        <v>33383.56</v>
      </c>
      <c r="G648">
        <v>28</v>
      </c>
      <c r="H648">
        <v>62</v>
      </c>
      <c r="I648">
        <v>0</v>
      </c>
      <c r="J648">
        <v>0</v>
      </c>
      <c r="K648">
        <v>0</v>
      </c>
      <c r="L648">
        <v>2024</v>
      </c>
    </row>
    <row r="649" spans="1:12" x14ac:dyDescent="0.25">
      <c r="A649" s="1" t="s">
        <v>682</v>
      </c>
      <c r="B649" s="1" t="s">
        <v>17</v>
      </c>
      <c r="C649">
        <v>36</v>
      </c>
      <c r="D649" s="1" t="s">
        <v>671</v>
      </c>
      <c r="E649">
        <v>43839.1</v>
      </c>
      <c r="F649">
        <v>29226.6</v>
      </c>
      <c r="G649">
        <v>24</v>
      </c>
      <c r="H649">
        <v>26</v>
      </c>
      <c r="I649">
        <v>47090.9</v>
      </c>
      <c r="J649">
        <v>10632.77</v>
      </c>
      <c r="K649">
        <v>1</v>
      </c>
      <c r="L649">
        <v>2024</v>
      </c>
    </row>
    <row r="650" spans="1:12" x14ac:dyDescent="0.25">
      <c r="A650" s="1" t="s">
        <v>683</v>
      </c>
      <c r="B650" s="1" t="s">
        <v>14</v>
      </c>
      <c r="C650">
        <v>27</v>
      </c>
      <c r="D650" s="1" t="s">
        <v>671</v>
      </c>
      <c r="E650">
        <v>37646.61</v>
      </c>
      <c r="F650">
        <v>24720.49</v>
      </c>
      <c r="G650">
        <v>31</v>
      </c>
      <c r="H650">
        <v>39</v>
      </c>
      <c r="I650">
        <v>34078.49</v>
      </c>
      <c r="J650">
        <v>5334.67</v>
      </c>
      <c r="K650">
        <v>1</v>
      </c>
      <c r="L650">
        <v>2024</v>
      </c>
    </row>
    <row r="651" spans="1:12" x14ac:dyDescent="0.25">
      <c r="A651" s="1" t="s">
        <v>684</v>
      </c>
      <c r="B651" s="1" t="s">
        <v>15</v>
      </c>
      <c r="C651">
        <v>14</v>
      </c>
      <c r="D651" s="1" t="s">
        <v>671</v>
      </c>
      <c r="E651">
        <v>9830.32</v>
      </c>
      <c r="F651">
        <v>9514.42</v>
      </c>
      <c r="G651">
        <v>27</v>
      </c>
      <c r="H651">
        <v>20</v>
      </c>
      <c r="I651">
        <v>18060.41</v>
      </c>
      <c r="J651">
        <v>4066.5</v>
      </c>
      <c r="K651">
        <v>0</v>
      </c>
      <c r="L651">
        <v>2024</v>
      </c>
    </row>
    <row r="652" spans="1:12" x14ac:dyDescent="0.25">
      <c r="A652" s="1" t="s">
        <v>685</v>
      </c>
      <c r="B652" s="1" t="s">
        <v>12</v>
      </c>
      <c r="C652">
        <v>66</v>
      </c>
      <c r="D652" s="1" t="s">
        <v>671</v>
      </c>
      <c r="E652">
        <v>55557.59</v>
      </c>
      <c r="F652">
        <v>48974.09</v>
      </c>
      <c r="G652">
        <v>39</v>
      </c>
      <c r="H652">
        <v>38</v>
      </c>
      <c r="I652">
        <v>53026.21</v>
      </c>
      <c r="J652">
        <v>808.82</v>
      </c>
      <c r="K652">
        <v>0</v>
      </c>
      <c r="L652">
        <v>2024</v>
      </c>
    </row>
    <row r="653" spans="1:12" x14ac:dyDescent="0.25">
      <c r="A653" s="1" t="s">
        <v>686</v>
      </c>
      <c r="B653" s="1" t="s">
        <v>12</v>
      </c>
      <c r="C653">
        <v>27</v>
      </c>
      <c r="D653" s="1" t="s">
        <v>671</v>
      </c>
      <c r="E653">
        <v>22190.69</v>
      </c>
      <c r="F653">
        <v>15740.3</v>
      </c>
      <c r="G653">
        <v>13</v>
      </c>
      <c r="H653">
        <v>59</v>
      </c>
      <c r="I653">
        <v>16113.97</v>
      </c>
      <c r="J653">
        <v>3284.96</v>
      </c>
      <c r="K653">
        <v>1</v>
      </c>
      <c r="L653">
        <v>2024</v>
      </c>
    </row>
    <row r="654" spans="1:12" x14ac:dyDescent="0.25">
      <c r="A654" s="1" t="s">
        <v>687</v>
      </c>
      <c r="B654" s="1" t="s">
        <v>14</v>
      </c>
      <c r="C654">
        <v>45</v>
      </c>
      <c r="D654" s="1" t="s">
        <v>671</v>
      </c>
      <c r="E654">
        <v>28083.72</v>
      </c>
      <c r="F654">
        <v>25921.95</v>
      </c>
      <c r="G654">
        <v>68</v>
      </c>
      <c r="H654">
        <v>34</v>
      </c>
      <c r="I654">
        <v>21615.35</v>
      </c>
      <c r="J654">
        <v>7971.15</v>
      </c>
      <c r="K654">
        <v>0</v>
      </c>
      <c r="L654">
        <v>2024</v>
      </c>
    </row>
    <row r="655" spans="1:12" x14ac:dyDescent="0.25">
      <c r="A655" s="1" t="s">
        <v>688</v>
      </c>
      <c r="B655" s="1" t="s">
        <v>18</v>
      </c>
      <c r="C655">
        <v>117</v>
      </c>
      <c r="D655" s="1" t="s">
        <v>671</v>
      </c>
      <c r="E655">
        <v>95300.3</v>
      </c>
      <c r="F655">
        <v>70136</v>
      </c>
      <c r="G655">
        <v>57</v>
      </c>
      <c r="H655">
        <v>23</v>
      </c>
      <c r="I655">
        <v>21046.43</v>
      </c>
      <c r="J655">
        <v>0</v>
      </c>
      <c r="K655">
        <v>0</v>
      </c>
      <c r="L655">
        <v>2024</v>
      </c>
    </row>
    <row r="656" spans="1:12" x14ac:dyDescent="0.25">
      <c r="A656" s="1" t="s">
        <v>689</v>
      </c>
      <c r="B656" s="1" t="s">
        <v>17</v>
      </c>
      <c r="C656">
        <v>89</v>
      </c>
      <c r="D656" s="1" t="s">
        <v>671</v>
      </c>
      <c r="E656">
        <v>74738.37</v>
      </c>
      <c r="F656">
        <v>79898.22</v>
      </c>
      <c r="G656">
        <v>46</v>
      </c>
      <c r="H656">
        <v>7</v>
      </c>
      <c r="I656">
        <v>44754.82</v>
      </c>
      <c r="J656">
        <v>0</v>
      </c>
      <c r="K656">
        <v>0</v>
      </c>
      <c r="L656">
        <v>2024</v>
      </c>
    </row>
    <row r="657" spans="1:12" x14ac:dyDescent="0.25">
      <c r="A657" s="1" t="s">
        <v>690</v>
      </c>
      <c r="B657" s="1" t="s">
        <v>12</v>
      </c>
      <c r="C657">
        <v>107</v>
      </c>
      <c r="D657" s="1" t="s">
        <v>671</v>
      </c>
      <c r="E657">
        <v>84371.73</v>
      </c>
      <c r="F657">
        <v>60691.11</v>
      </c>
      <c r="G657">
        <v>50</v>
      </c>
      <c r="H657">
        <v>0</v>
      </c>
      <c r="I657">
        <v>48232.29</v>
      </c>
      <c r="J657">
        <v>10365.950000000001</v>
      </c>
      <c r="K657">
        <v>0</v>
      </c>
      <c r="L657">
        <v>2024</v>
      </c>
    </row>
    <row r="658" spans="1:12" x14ac:dyDescent="0.25">
      <c r="A658" s="1" t="s">
        <v>691</v>
      </c>
      <c r="B658" s="1" t="s">
        <v>12</v>
      </c>
      <c r="C658">
        <v>100</v>
      </c>
      <c r="D658" s="1" t="s">
        <v>671</v>
      </c>
      <c r="E658">
        <v>76662.33</v>
      </c>
      <c r="F658">
        <v>68656.73</v>
      </c>
      <c r="G658">
        <v>51</v>
      </c>
      <c r="H658">
        <v>39</v>
      </c>
      <c r="I658">
        <v>0</v>
      </c>
      <c r="J658">
        <v>5132.71</v>
      </c>
      <c r="K658">
        <v>0</v>
      </c>
      <c r="L658">
        <v>2024</v>
      </c>
    </row>
    <row r="659" spans="1:12" x14ac:dyDescent="0.25">
      <c r="A659" s="1" t="s">
        <v>692</v>
      </c>
      <c r="B659" s="1" t="s">
        <v>14</v>
      </c>
      <c r="C659">
        <v>61</v>
      </c>
      <c r="D659" s="1" t="s">
        <v>671</v>
      </c>
      <c r="E659">
        <v>45549.19</v>
      </c>
      <c r="F659">
        <v>35514.269999999997</v>
      </c>
      <c r="G659">
        <v>44</v>
      </c>
      <c r="H659">
        <v>2</v>
      </c>
      <c r="I659">
        <v>7106.19</v>
      </c>
      <c r="J659">
        <v>0</v>
      </c>
      <c r="K659">
        <v>0</v>
      </c>
      <c r="L659">
        <v>2024</v>
      </c>
    </row>
    <row r="660" spans="1:12" x14ac:dyDescent="0.25">
      <c r="A660" s="1" t="s">
        <v>693</v>
      </c>
      <c r="B660" s="1" t="s">
        <v>12</v>
      </c>
      <c r="C660">
        <v>72</v>
      </c>
      <c r="D660" s="1" t="s">
        <v>671</v>
      </c>
      <c r="E660">
        <v>64087.56</v>
      </c>
      <c r="F660">
        <v>58519.1</v>
      </c>
      <c r="G660">
        <v>56</v>
      </c>
      <c r="H660">
        <v>28</v>
      </c>
      <c r="I660">
        <v>35775.57</v>
      </c>
      <c r="J660">
        <v>10445.69</v>
      </c>
      <c r="K660">
        <v>0</v>
      </c>
      <c r="L660">
        <v>2024</v>
      </c>
    </row>
    <row r="661" spans="1:12" x14ac:dyDescent="0.25">
      <c r="A661" s="1" t="s">
        <v>694</v>
      </c>
      <c r="B661" s="1" t="s">
        <v>16</v>
      </c>
      <c r="C661">
        <v>3</v>
      </c>
      <c r="D661" s="1" t="s">
        <v>671</v>
      </c>
      <c r="E661">
        <v>13279.84</v>
      </c>
      <c r="F661">
        <v>9245.85</v>
      </c>
      <c r="G661">
        <v>34</v>
      </c>
      <c r="H661">
        <v>31</v>
      </c>
      <c r="I661">
        <v>62305.11</v>
      </c>
      <c r="J661">
        <v>4144.51</v>
      </c>
      <c r="K661">
        <v>0</v>
      </c>
      <c r="L661">
        <v>2024</v>
      </c>
    </row>
    <row r="662" spans="1:12" x14ac:dyDescent="0.25">
      <c r="A662" s="1" t="s">
        <v>695</v>
      </c>
      <c r="B662" s="1" t="s">
        <v>17</v>
      </c>
      <c r="C662">
        <v>37</v>
      </c>
      <c r="D662" s="1" t="s">
        <v>671</v>
      </c>
      <c r="E662">
        <v>29677</v>
      </c>
      <c r="F662">
        <v>19962.21</v>
      </c>
      <c r="G662">
        <v>45</v>
      </c>
      <c r="H662">
        <v>79</v>
      </c>
      <c r="I662">
        <v>15829.57</v>
      </c>
      <c r="J662">
        <v>8856.34</v>
      </c>
      <c r="K662">
        <v>0</v>
      </c>
      <c r="L662">
        <v>2024</v>
      </c>
    </row>
    <row r="663" spans="1:12" x14ac:dyDescent="0.25">
      <c r="A663" s="1" t="s">
        <v>696</v>
      </c>
      <c r="B663" s="1" t="s">
        <v>12</v>
      </c>
      <c r="C663">
        <v>118</v>
      </c>
      <c r="D663" s="1" t="s">
        <v>671</v>
      </c>
      <c r="E663">
        <v>95467.45</v>
      </c>
      <c r="F663">
        <v>91512.27</v>
      </c>
      <c r="G663">
        <v>32</v>
      </c>
      <c r="H663">
        <v>33</v>
      </c>
      <c r="I663">
        <v>74553.100000000006</v>
      </c>
      <c r="J663">
        <v>3254.59</v>
      </c>
      <c r="K663">
        <v>1</v>
      </c>
      <c r="L663">
        <v>2024</v>
      </c>
    </row>
    <row r="664" spans="1:12" x14ac:dyDescent="0.25">
      <c r="A664" s="1" t="s">
        <v>697</v>
      </c>
      <c r="B664" s="1" t="s">
        <v>17</v>
      </c>
      <c r="C664">
        <v>57</v>
      </c>
      <c r="D664" s="1" t="s">
        <v>671</v>
      </c>
      <c r="E664">
        <v>65981.87</v>
      </c>
      <c r="F664">
        <v>45270.84</v>
      </c>
      <c r="G664">
        <v>21</v>
      </c>
      <c r="H664">
        <v>20</v>
      </c>
      <c r="I664">
        <v>7599.88</v>
      </c>
      <c r="J664">
        <v>4126.59</v>
      </c>
      <c r="K664">
        <v>0</v>
      </c>
      <c r="L664">
        <v>2024</v>
      </c>
    </row>
    <row r="665" spans="1:12" x14ac:dyDescent="0.25">
      <c r="A665" s="1" t="s">
        <v>698</v>
      </c>
      <c r="B665" s="1" t="s">
        <v>14</v>
      </c>
      <c r="C665">
        <v>70</v>
      </c>
      <c r="D665" s="1" t="s">
        <v>671</v>
      </c>
      <c r="E665">
        <v>65025.25</v>
      </c>
      <c r="F665">
        <v>59995.56</v>
      </c>
      <c r="G665">
        <v>10</v>
      </c>
      <c r="H665">
        <v>13</v>
      </c>
      <c r="I665">
        <v>49149.51</v>
      </c>
      <c r="J665">
        <v>9651.83</v>
      </c>
      <c r="K665">
        <v>0</v>
      </c>
      <c r="L665">
        <v>2024</v>
      </c>
    </row>
    <row r="666" spans="1:12" x14ac:dyDescent="0.25">
      <c r="A666" s="1" t="s">
        <v>699</v>
      </c>
      <c r="B666" s="1" t="s">
        <v>18</v>
      </c>
      <c r="C666">
        <v>60</v>
      </c>
      <c r="D666" s="1" t="s">
        <v>671</v>
      </c>
      <c r="E666">
        <v>57487.7</v>
      </c>
      <c r="F666">
        <v>34712.93</v>
      </c>
      <c r="G666">
        <v>40</v>
      </c>
      <c r="H666">
        <v>36</v>
      </c>
      <c r="I666">
        <v>51486.559999999998</v>
      </c>
      <c r="J666">
        <v>7344.78</v>
      </c>
      <c r="K666">
        <v>0</v>
      </c>
      <c r="L666">
        <v>2024</v>
      </c>
    </row>
    <row r="667" spans="1:12" x14ac:dyDescent="0.25">
      <c r="A667" s="1" t="s">
        <v>700</v>
      </c>
      <c r="B667" s="1" t="s">
        <v>14</v>
      </c>
      <c r="C667">
        <v>17</v>
      </c>
      <c r="D667" s="1" t="s">
        <v>671</v>
      </c>
      <c r="E667">
        <v>4000</v>
      </c>
      <c r="F667">
        <v>2738.97</v>
      </c>
      <c r="G667">
        <v>27</v>
      </c>
      <c r="H667">
        <v>34</v>
      </c>
      <c r="I667">
        <v>61148.01</v>
      </c>
      <c r="J667">
        <v>7951.42</v>
      </c>
      <c r="K667">
        <v>0</v>
      </c>
      <c r="L667">
        <v>2024</v>
      </c>
    </row>
    <row r="668" spans="1:12" x14ac:dyDescent="0.25">
      <c r="A668" s="1" t="s">
        <v>701</v>
      </c>
      <c r="B668" s="1" t="s">
        <v>12</v>
      </c>
      <c r="C668">
        <v>65</v>
      </c>
      <c r="D668" s="1" t="s">
        <v>671</v>
      </c>
      <c r="E668">
        <v>63937.22</v>
      </c>
      <c r="F668">
        <v>55937.73</v>
      </c>
      <c r="G668">
        <v>40</v>
      </c>
      <c r="H668">
        <v>22</v>
      </c>
      <c r="I668">
        <v>71344.84</v>
      </c>
      <c r="J668">
        <v>9789.4699999999993</v>
      </c>
      <c r="K668">
        <v>0</v>
      </c>
      <c r="L668">
        <v>2024</v>
      </c>
    </row>
    <row r="669" spans="1:12" x14ac:dyDescent="0.25">
      <c r="A669" s="1" t="s">
        <v>702</v>
      </c>
      <c r="B669" s="1" t="s">
        <v>12</v>
      </c>
      <c r="C669">
        <v>50</v>
      </c>
      <c r="D669" s="1" t="s">
        <v>671</v>
      </c>
      <c r="E669">
        <v>51399.77</v>
      </c>
      <c r="F669">
        <v>46342.39</v>
      </c>
      <c r="G669">
        <v>23</v>
      </c>
      <c r="H669">
        <v>14</v>
      </c>
      <c r="I669">
        <v>23762.9</v>
      </c>
      <c r="J669">
        <v>8106.39</v>
      </c>
      <c r="K669">
        <v>0</v>
      </c>
      <c r="L669">
        <v>2024</v>
      </c>
    </row>
    <row r="670" spans="1:12" x14ac:dyDescent="0.25">
      <c r="A670" s="1" t="s">
        <v>703</v>
      </c>
      <c r="B670" s="1" t="s">
        <v>17</v>
      </c>
      <c r="C670">
        <v>117</v>
      </c>
      <c r="D670" s="1" t="s">
        <v>671</v>
      </c>
      <c r="E670">
        <v>77326.64</v>
      </c>
      <c r="F670">
        <v>49665.57</v>
      </c>
      <c r="G670">
        <v>19</v>
      </c>
      <c r="H670">
        <v>25</v>
      </c>
      <c r="I670">
        <v>32272.81</v>
      </c>
      <c r="J670">
        <v>0</v>
      </c>
      <c r="K670">
        <v>1</v>
      </c>
      <c r="L670">
        <v>2024</v>
      </c>
    </row>
    <row r="671" spans="1:12" x14ac:dyDescent="0.25">
      <c r="A671" s="1" t="s">
        <v>704</v>
      </c>
      <c r="B671" s="1" t="s">
        <v>17</v>
      </c>
      <c r="C671">
        <v>49</v>
      </c>
      <c r="D671" s="1" t="s">
        <v>671</v>
      </c>
      <c r="E671">
        <v>43894.48</v>
      </c>
      <c r="F671">
        <v>29985.599999999999</v>
      </c>
      <c r="G671">
        <v>49</v>
      </c>
      <c r="H671">
        <v>20</v>
      </c>
      <c r="I671">
        <v>565.82000000000005</v>
      </c>
      <c r="J671">
        <v>5950.88</v>
      </c>
      <c r="K671">
        <v>0</v>
      </c>
      <c r="L671">
        <v>2024</v>
      </c>
    </row>
    <row r="672" spans="1:12" x14ac:dyDescent="0.25">
      <c r="A672" s="1" t="s">
        <v>705</v>
      </c>
      <c r="B672" s="1" t="s">
        <v>14</v>
      </c>
      <c r="C672">
        <v>14</v>
      </c>
      <c r="D672" s="1" t="s">
        <v>671</v>
      </c>
      <c r="E672">
        <v>26866.31</v>
      </c>
      <c r="F672">
        <v>23573.13</v>
      </c>
      <c r="G672">
        <v>17</v>
      </c>
      <c r="H672">
        <v>27</v>
      </c>
      <c r="I672">
        <v>74860.100000000006</v>
      </c>
      <c r="J672">
        <v>2384.5500000000002</v>
      </c>
      <c r="K672">
        <v>0</v>
      </c>
      <c r="L672">
        <v>2024</v>
      </c>
    </row>
    <row r="673" spans="1:12" x14ac:dyDescent="0.25">
      <c r="A673" s="1" t="s">
        <v>706</v>
      </c>
      <c r="B673" s="1" t="s">
        <v>18</v>
      </c>
      <c r="C673">
        <v>50</v>
      </c>
      <c r="D673" s="1" t="s">
        <v>671</v>
      </c>
      <c r="E673">
        <v>42587.13</v>
      </c>
      <c r="F673">
        <v>33779.94</v>
      </c>
      <c r="G673">
        <v>42</v>
      </c>
      <c r="H673">
        <v>38</v>
      </c>
      <c r="I673">
        <v>38668.44</v>
      </c>
      <c r="J673">
        <v>1488.49</v>
      </c>
      <c r="K673">
        <v>0</v>
      </c>
      <c r="L673">
        <v>2024</v>
      </c>
    </row>
    <row r="674" spans="1:12" x14ac:dyDescent="0.25">
      <c r="A674" s="1" t="s">
        <v>707</v>
      </c>
      <c r="B674" s="1" t="s">
        <v>17</v>
      </c>
      <c r="C674">
        <v>52</v>
      </c>
      <c r="D674" s="1" t="s">
        <v>671</v>
      </c>
      <c r="E674">
        <v>34667.129999999997</v>
      </c>
      <c r="F674">
        <v>34993.42</v>
      </c>
      <c r="G674">
        <v>40</v>
      </c>
      <c r="H674">
        <v>54</v>
      </c>
      <c r="I674">
        <v>67894.05</v>
      </c>
      <c r="J674">
        <v>652.41</v>
      </c>
      <c r="K674">
        <v>0</v>
      </c>
      <c r="L674">
        <v>2024</v>
      </c>
    </row>
    <row r="675" spans="1:12" x14ac:dyDescent="0.25">
      <c r="A675" s="1" t="s">
        <v>708</v>
      </c>
      <c r="B675" s="1" t="s">
        <v>16</v>
      </c>
      <c r="C675">
        <v>83</v>
      </c>
      <c r="D675" s="1" t="s">
        <v>671</v>
      </c>
      <c r="E675">
        <v>63747.69</v>
      </c>
      <c r="F675">
        <v>55675.07</v>
      </c>
      <c r="G675">
        <v>65</v>
      </c>
      <c r="H675">
        <v>85</v>
      </c>
      <c r="I675">
        <v>35432.32</v>
      </c>
      <c r="J675">
        <v>1751.06</v>
      </c>
      <c r="K675">
        <v>0</v>
      </c>
      <c r="L675">
        <v>2024</v>
      </c>
    </row>
    <row r="676" spans="1:12" x14ac:dyDescent="0.25">
      <c r="A676" s="1" t="s">
        <v>709</v>
      </c>
      <c r="B676" s="1" t="s">
        <v>14</v>
      </c>
      <c r="C676">
        <v>8</v>
      </c>
      <c r="D676" s="1" t="s">
        <v>671</v>
      </c>
      <c r="E676">
        <v>22306.58</v>
      </c>
      <c r="F676">
        <v>15265.1</v>
      </c>
      <c r="G676">
        <v>33</v>
      </c>
      <c r="H676">
        <v>44</v>
      </c>
      <c r="I676">
        <v>66068.710000000006</v>
      </c>
      <c r="J676">
        <v>15.28</v>
      </c>
      <c r="K676">
        <v>1</v>
      </c>
      <c r="L676">
        <v>2024</v>
      </c>
    </row>
    <row r="677" spans="1:12" x14ac:dyDescent="0.25">
      <c r="A677" s="1" t="s">
        <v>710</v>
      </c>
      <c r="B677" s="1" t="s">
        <v>16</v>
      </c>
      <c r="C677">
        <v>24</v>
      </c>
      <c r="D677" s="1" t="s">
        <v>671</v>
      </c>
      <c r="E677">
        <v>15582.58</v>
      </c>
      <c r="F677">
        <v>15555.32</v>
      </c>
      <c r="G677">
        <v>52</v>
      </c>
      <c r="H677">
        <v>0</v>
      </c>
      <c r="I677">
        <v>56361.2</v>
      </c>
      <c r="J677">
        <v>4142.2700000000004</v>
      </c>
      <c r="K677">
        <v>0</v>
      </c>
      <c r="L677">
        <v>2024</v>
      </c>
    </row>
    <row r="678" spans="1:12" x14ac:dyDescent="0.25">
      <c r="A678" s="1" t="s">
        <v>711</v>
      </c>
      <c r="B678" s="1" t="s">
        <v>15</v>
      </c>
      <c r="C678">
        <v>35</v>
      </c>
      <c r="D678" s="1" t="s">
        <v>671</v>
      </c>
      <c r="E678">
        <v>31332.38</v>
      </c>
      <c r="F678">
        <v>19436.41</v>
      </c>
      <c r="G678">
        <v>28</v>
      </c>
      <c r="H678">
        <v>50</v>
      </c>
      <c r="I678">
        <v>50274.7</v>
      </c>
      <c r="J678">
        <v>7594</v>
      </c>
      <c r="K678">
        <v>0</v>
      </c>
      <c r="L678">
        <v>2024</v>
      </c>
    </row>
    <row r="679" spans="1:12" x14ac:dyDescent="0.25">
      <c r="A679" s="1" t="s">
        <v>712</v>
      </c>
      <c r="B679" s="1" t="s">
        <v>12</v>
      </c>
      <c r="C679">
        <v>91</v>
      </c>
      <c r="D679" s="1" t="s">
        <v>671</v>
      </c>
      <c r="E679">
        <v>85780.87</v>
      </c>
      <c r="F679">
        <v>61177.75</v>
      </c>
      <c r="G679">
        <v>39</v>
      </c>
      <c r="H679">
        <v>27</v>
      </c>
      <c r="I679">
        <v>0</v>
      </c>
      <c r="J679">
        <v>9984.43</v>
      </c>
      <c r="K679">
        <v>0</v>
      </c>
      <c r="L679">
        <v>2024</v>
      </c>
    </row>
    <row r="680" spans="1:12" x14ac:dyDescent="0.25">
      <c r="A680" s="1" t="s">
        <v>713</v>
      </c>
      <c r="B680" s="1" t="s">
        <v>14</v>
      </c>
      <c r="C680">
        <v>20</v>
      </c>
      <c r="D680" s="1" t="s">
        <v>671</v>
      </c>
      <c r="E680">
        <v>46565.51</v>
      </c>
      <c r="F680">
        <v>44977.09</v>
      </c>
      <c r="G680">
        <v>10</v>
      </c>
      <c r="H680">
        <v>27</v>
      </c>
      <c r="I680">
        <v>69864.399999999994</v>
      </c>
      <c r="J680">
        <v>1615.25</v>
      </c>
      <c r="K680">
        <v>1</v>
      </c>
      <c r="L680">
        <v>2024</v>
      </c>
    </row>
    <row r="681" spans="1:12" x14ac:dyDescent="0.25">
      <c r="A681" s="1" t="s">
        <v>714</v>
      </c>
      <c r="B681" s="1" t="s">
        <v>12</v>
      </c>
      <c r="C681">
        <v>107</v>
      </c>
      <c r="D681" s="1" t="s">
        <v>671</v>
      </c>
      <c r="E681">
        <v>98204.7</v>
      </c>
      <c r="F681">
        <v>65776.7</v>
      </c>
      <c r="G681">
        <v>22</v>
      </c>
      <c r="H681">
        <v>34</v>
      </c>
      <c r="I681">
        <v>49128.58</v>
      </c>
      <c r="J681">
        <v>13420.92</v>
      </c>
      <c r="K681">
        <v>0</v>
      </c>
      <c r="L681">
        <v>2024</v>
      </c>
    </row>
    <row r="682" spans="1:12" x14ac:dyDescent="0.25">
      <c r="A682" s="1" t="s">
        <v>715</v>
      </c>
      <c r="B682" s="1" t="s">
        <v>15</v>
      </c>
      <c r="C682">
        <v>105</v>
      </c>
      <c r="D682" s="1" t="s">
        <v>671</v>
      </c>
      <c r="E682">
        <v>89614.09</v>
      </c>
      <c r="F682">
        <v>93933.07</v>
      </c>
      <c r="G682">
        <v>68</v>
      </c>
      <c r="H682">
        <v>24</v>
      </c>
      <c r="I682">
        <v>31149.88</v>
      </c>
      <c r="J682">
        <v>173.15</v>
      </c>
      <c r="K682">
        <v>1</v>
      </c>
      <c r="L682">
        <v>2024</v>
      </c>
    </row>
    <row r="683" spans="1:12" x14ac:dyDescent="0.25">
      <c r="A683" s="1" t="s">
        <v>716</v>
      </c>
      <c r="B683" s="1" t="s">
        <v>15</v>
      </c>
      <c r="C683">
        <v>54</v>
      </c>
      <c r="D683" s="1" t="s">
        <v>671</v>
      </c>
      <c r="E683">
        <v>58175.86</v>
      </c>
      <c r="F683">
        <v>39595.85</v>
      </c>
      <c r="G683">
        <v>39</v>
      </c>
      <c r="H683">
        <v>0</v>
      </c>
      <c r="I683">
        <v>44232.12</v>
      </c>
      <c r="J683">
        <v>6485.72</v>
      </c>
      <c r="K683">
        <v>0</v>
      </c>
      <c r="L683">
        <v>2024</v>
      </c>
    </row>
    <row r="684" spans="1:12" x14ac:dyDescent="0.25">
      <c r="A684" s="1" t="s">
        <v>717</v>
      </c>
      <c r="B684" s="1" t="s">
        <v>14</v>
      </c>
      <c r="C684">
        <v>116</v>
      </c>
      <c r="D684" s="1" t="s">
        <v>671</v>
      </c>
      <c r="E684">
        <v>98949.17</v>
      </c>
      <c r="F684">
        <v>86191.06</v>
      </c>
      <c r="G684">
        <v>44</v>
      </c>
      <c r="H684">
        <v>36</v>
      </c>
      <c r="I684">
        <v>32247.63</v>
      </c>
      <c r="J684">
        <v>9771.9500000000007</v>
      </c>
      <c r="K684">
        <v>0</v>
      </c>
      <c r="L684">
        <v>2024</v>
      </c>
    </row>
    <row r="685" spans="1:12" x14ac:dyDescent="0.25">
      <c r="A685" s="1" t="s">
        <v>718</v>
      </c>
      <c r="B685" s="1" t="s">
        <v>12</v>
      </c>
      <c r="C685">
        <v>10</v>
      </c>
      <c r="D685" s="1" t="s">
        <v>671</v>
      </c>
      <c r="E685">
        <v>4000</v>
      </c>
      <c r="F685">
        <v>2500</v>
      </c>
      <c r="G685">
        <v>42</v>
      </c>
      <c r="H685">
        <v>47</v>
      </c>
      <c r="I685">
        <v>100391.41</v>
      </c>
      <c r="J685">
        <v>4226.6099999999997</v>
      </c>
      <c r="K685">
        <v>0</v>
      </c>
      <c r="L685">
        <v>2024</v>
      </c>
    </row>
    <row r="686" spans="1:12" x14ac:dyDescent="0.25">
      <c r="A686" s="1" t="s">
        <v>719</v>
      </c>
      <c r="B686" s="1" t="s">
        <v>14</v>
      </c>
      <c r="C686">
        <v>13</v>
      </c>
      <c r="D686" s="1" t="s">
        <v>671</v>
      </c>
      <c r="E686">
        <v>17361.68</v>
      </c>
      <c r="F686">
        <v>11206.92</v>
      </c>
      <c r="G686">
        <v>38</v>
      </c>
      <c r="H686">
        <v>28</v>
      </c>
      <c r="I686">
        <v>63114.95</v>
      </c>
      <c r="J686">
        <v>11437.17</v>
      </c>
      <c r="K686">
        <v>0</v>
      </c>
      <c r="L686">
        <v>2024</v>
      </c>
    </row>
    <row r="687" spans="1:12" x14ac:dyDescent="0.25">
      <c r="A687" s="1" t="s">
        <v>720</v>
      </c>
      <c r="B687" s="1" t="s">
        <v>17</v>
      </c>
      <c r="C687">
        <v>28</v>
      </c>
      <c r="D687" s="1" t="s">
        <v>671</v>
      </c>
      <c r="E687">
        <v>14134.68</v>
      </c>
      <c r="F687">
        <v>12105.78</v>
      </c>
      <c r="G687">
        <v>59</v>
      </c>
      <c r="H687">
        <v>38</v>
      </c>
      <c r="I687">
        <v>28524.880000000001</v>
      </c>
      <c r="J687">
        <v>0</v>
      </c>
      <c r="K687">
        <v>0</v>
      </c>
      <c r="L687">
        <v>2024</v>
      </c>
    </row>
    <row r="688" spans="1:12" x14ac:dyDescent="0.25">
      <c r="A688" s="1" t="s">
        <v>721</v>
      </c>
      <c r="B688" s="1" t="s">
        <v>12</v>
      </c>
      <c r="C688">
        <v>57</v>
      </c>
      <c r="D688" s="1" t="s">
        <v>671</v>
      </c>
      <c r="E688">
        <v>47495.89</v>
      </c>
      <c r="F688">
        <v>46525.53</v>
      </c>
      <c r="G688">
        <v>69</v>
      </c>
      <c r="H688">
        <v>33</v>
      </c>
      <c r="I688">
        <v>46527.66</v>
      </c>
      <c r="J688">
        <v>878.09</v>
      </c>
      <c r="K688">
        <v>1</v>
      </c>
      <c r="L688">
        <v>2024</v>
      </c>
    </row>
    <row r="689" spans="1:12" x14ac:dyDescent="0.25">
      <c r="A689" s="1" t="s">
        <v>722</v>
      </c>
      <c r="B689" s="1" t="s">
        <v>18</v>
      </c>
      <c r="C689">
        <v>5</v>
      </c>
      <c r="D689" s="1" t="s">
        <v>671</v>
      </c>
      <c r="E689">
        <v>7490.21</v>
      </c>
      <c r="F689">
        <v>6900.65</v>
      </c>
      <c r="G689">
        <v>34</v>
      </c>
      <c r="H689">
        <v>42</v>
      </c>
      <c r="I689">
        <v>26554.66</v>
      </c>
      <c r="J689">
        <v>1524.21</v>
      </c>
      <c r="K689">
        <v>1</v>
      </c>
      <c r="L689">
        <v>2024</v>
      </c>
    </row>
    <row r="690" spans="1:12" x14ac:dyDescent="0.25">
      <c r="A690" s="1" t="s">
        <v>723</v>
      </c>
      <c r="B690" s="1" t="s">
        <v>18</v>
      </c>
      <c r="C690">
        <v>45</v>
      </c>
      <c r="D690" s="1" t="s">
        <v>671</v>
      </c>
      <c r="E690">
        <v>42791.99</v>
      </c>
      <c r="F690">
        <v>43221.07</v>
      </c>
      <c r="G690">
        <v>51</v>
      </c>
      <c r="H690">
        <v>45</v>
      </c>
      <c r="I690">
        <v>37144.639999999999</v>
      </c>
      <c r="J690">
        <v>12661.82</v>
      </c>
      <c r="K690">
        <v>0</v>
      </c>
      <c r="L690">
        <v>2024</v>
      </c>
    </row>
    <row r="691" spans="1:12" x14ac:dyDescent="0.25">
      <c r="A691" s="1" t="s">
        <v>724</v>
      </c>
      <c r="B691" s="1" t="s">
        <v>16</v>
      </c>
      <c r="C691">
        <v>119</v>
      </c>
      <c r="D691" s="1" t="s">
        <v>671</v>
      </c>
      <c r="E691">
        <v>86631.83</v>
      </c>
      <c r="F691">
        <v>93264.2</v>
      </c>
      <c r="G691">
        <v>64</v>
      </c>
      <c r="H691">
        <v>18</v>
      </c>
      <c r="I691">
        <v>57369.78</v>
      </c>
      <c r="J691">
        <v>7570.58</v>
      </c>
      <c r="K691">
        <v>1</v>
      </c>
      <c r="L691">
        <v>2024</v>
      </c>
    </row>
    <row r="692" spans="1:12" x14ac:dyDescent="0.25">
      <c r="A692" s="1" t="s">
        <v>725</v>
      </c>
      <c r="B692" s="1" t="s">
        <v>18</v>
      </c>
      <c r="C692">
        <v>24</v>
      </c>
      <c r="D692" s="1" t="s">
        <v>671</v>
      </c>
      <c r="E692">
        <v>12105.45</v>
      </c>
      <c r="F692">
        <v>12044.9</v>
      </c>
      <c r="G692">
        <v>23</v>
      </c>
      <c r="H692">
        <v>47</v>
      </c>
      <c r="I692">
        <v>12194.29</v>
      </c>
      <c r="J692">
        <v>5192.3100000000004</v>
      </c>
      <c r="K692">
        <v>1</v>
      </c>
      <c r="L692">
        <v>2024</v>
      </c>
    </row>
    <row r="693" spans="1:12" x14ac:dyDescent="0.25">
      <c r="A693" s="1" t="s">
        <v>726</v>
      </c>
      <c r="B693" s="1" t="s">
        <v>18</v>
      </c>
      <c r="C693">
        <v>40</v>
      </c>
      <c r="D693" s="1" t="s">
        <v>671</v>
      </c>
      <c r="E693">
        <v>47582.59</v>
      </c>
      <c r="F693">
        <v>29699.49</v>
      </c>
      <c r="G693">
        <v>39</v>
      </c>
      <c r="H693">
        <v>37</v>
      </c>
      <c r="I693">
        <v>69758.080000000002</v>
      </c>
      <c r="J693">
        <v>4468.5</v>
      </c>
      <c r="K693">
        <v>0</v>
      </c>
      <c r="L693">
        <v>2024</v>
      </c>
    </row>
    <row r="694" spans="1:12" x14ac:dyDescent="0.25">
      <c r="A694" s="1" t="s">
        <v>727</v>
      </c>
      <c r="B694" s="1" t="s">
        <v>18</v>
      </c>
      <c r="C694">
        <v>56</v>
      </c>
      <c r="D694" s="1" t="s">
        <v>671</v>
      </c>
      <c r="E694">
        <v>44508.83</v>
      </c>
      <c r="F694">
        <v>47939.54</v>
      </c>
      <c r="G694">
        <v>64</v>
      </c>
      <c r="H694">
        <v>0</v>
      </c>
      <c r="I694">
        <v>19918.7</v>
      </c>
      <c r="J694">
        <v>11244.05</v>
      </c>
      <c r="K694">
        <v>0</v>
      </c>
      <c r="L694">
        <v>2024</v>
      </c>
    </row>
    <row r="695" spans="1:12" x14ac:dyDescent="0.25">
      <c r="A695" s="1" t="s">
        <v>728</v>
      </c>
      <c r="B695" s="1" t="s">
        <v>15</v>
      </c>
      <c r="C695">
        <v>99</v>
      </c>
      <c r="D695" s="1" t="s">
        <v>671</v>
      </c>
      <c r="E695">
        <v>74351.64</v>
      </c>
      <c r="F695">
        <v>62735.040000000001</v>
      </c>
      <c r="G695">
        <v>38</v>
      </c>
      <c r="H695">
        <v>39</v>
      </c>
      <c r="I695">
        <v>46428.37</v>
      </c>
      <c r="J695">
        <v>4027.41</v>
      </c>
      <c r="K695">
        <v>0</v>
      </c>
      <c r="L695">
        <v>2024</v>
      </c>
    </row>
    <row r="696" spans="1:12" x14ac:dyDescent="0.25">
      <c r="A696" s="1" t="s">
        <v>729</v>
      </c>
      <c r="B696" s="1" t="s">
        <v>17</v>
      </c>
      <c r="C696">
        <v>73</v>
      </c>
      <c r="D696" s="1" t="s">
        <v>671</v>
      </c>
      <c r="E696">
        <v>69871.47</v>
      </c>
      <c r="F696">
        <v>67685.73</v>
      </c>
      <c r="G696">
        <v>23</v>
      </c>
      <c r="H696">
        <v>27</v>
      </c>
      <c r="I696">
        <v>12810.83</v>
      </c>
      <c r="J696">
        <v>2645.86</v>
      </c>
      <c r="K696">
        <v>0</v>
      </c>
      <c r="L696">
        <v>2024</v>
      </c>
    </row>
    <row r="697" spans="1:12" x14ac:dyDescent="0.25">
      <c r="A697" s="1" t="s">
        <v>730</v>
      </c>
      <c r="B697" s="1" t="s">
        <v>16</v>
      </c>
      <c r="C697">
        <v>115</v>
      </c>
      <c r="D697" s="1" t="s">
        <v>671</v>
      </c>
      <c r="E697">
        <v>90796.04</v>
      </c>
      <c r="F697">
        <v>89395.16</v>
      </c>
      <c r="G697">
        <v>66</v>
      </c>
      <c r="H697">
        <v>50</v>
      </c>
      <c r="I697">
        <v>20543.64</v>
      </c>
      <c r="J697">
        <v>3012.64</v>
      </c>
      <c r="K697">
        <v>0</v>
      </c>
      <c r="L697">
        <v>2024</v>
      </c>
    </row>
    <row r="698" spans="1:12" x14ac:dyDescent="0.25">
      <c r="A698" s="1" t="s">
        <v>731</v>
      </c>
      <c r="B698" s="1" t="s">
        <v>15</v>
      </c>
      <c r="C698">
        <v>75</v>
      </c>
      <c r="D698" s="1" t="s">
        <v>671</v>
      </c>
      <c r="E698">
        <v>50706.16</v>
      </c>
      <c r="F698">
        <v>42250.41</v>
      </c>
      <c r="G698">
        <v>36</v>
      </c>
      <c r="H698">
        <v>15</v>
      </c>
      <c r="I698">
        <v>9082.9500000000007</v>
      </c>
      <c r="J698">
        <v>5477.97</v>
      </c>
      <c r="K698">
        <v>0</v>
      </c>
      <c r="L698">
        <v>2024</v>
      </c>
    </row>
    <row r="699" spans="1:12" x14ac:dyDescent="0.25">
      <c r="A699" s="1" t="s">
        <v>732</v>
      </c>
      <c r="B699" s="1" t="s">
        <v>16</v>
      </c>
      <c r="C699">
        <v>49</v>
      </c>
      <c r="D699" s="1" t="s">
        <v>671</v>
      </c>
      <c r="E699">
        <v>38620.959999999999</v>
      </c>
      <c r="F699">
        <v>33699.89</v>
      </c>
      <c r="G699">
        <v>34</v>
      </c>
      <c r="H699">
        <v>4</v>
      </c>
      <c r="I699">
        <v>99637.96</v>
      </c>
      <c r="J699">
        <v>1917.54</v>
      </c>
      <c r="K699">
        <v>0</v>
      </c>
      <c r="L699">
        <v>2024</v>
      </c>
    </row>
    <row r="700" spans="1:12" x14ac:dyDescent="0.25">
      <c r="A700" s="1" t="s">
        <v>733</v>
      </c>
      <c r="B700" s="1" t="s">
        <v>14</v>
      </c>
      <c r="C700">
        <v>90</v>
      </c>
      <c r="D700" s="1" t="s">
        <v>671</v>
      </c>
      <c r="E700">
        <v>76326.64</v>
      </c>
      <c r="F700">
        <v>50867.47</v>
      </c>
      <c r="G700">
        <v>37</v>
      </c>
      <c r="H700">
        <v>41</v>
      </c>
      <c r="I700">
        <v>92454.31</v>
      </c>
      <c r="J700">
        <v>6087.92</v>
      </c>
      <c r="K700">
        <v>0</v>
      </c>
      <c r="L700">
        <v>2024</v>
      </c>
    </row>
    <row r="701" spans="1:12" x14ac:dyDescent="0.25">
      <c r="A701" s="1" t="s">
        <v>734</v>
      </c>
      <c r="B701" s="1" t="s">
        <v>15</v>
      </c>
      <c r="C701">
        <v>5</v>
      </c>
      <c r="D701" s="1" t="s">
        <v>671</v>
      </c>
      <c r="E701">
        <v>4000</v>
      </c>
      <c r="F701">
        <v>3068.42</v>
      </c>
      <c r="G701">
        <v>26</v>
      </c>
      <c r="H701">
        <v>23</v>
      </c>
      <c r="I701">
        <v>0</v>
      </c>
      <c r="J701">
        <v>3211.82</v>
      </c>
      <c r="K701">
        <v>0</v>
      </c>
      <c r="L701">
        <v>2024</v>
      </c>
    </row>
    <row r="702" spans="1:12" x14ac:dyDescent="0.25">
      <c r="A702" s="1" t="s">
        <v>735</v>
      </c>
      <c r="B702" s="1" t="s">
        <v>12</v>
      </c>
      <c r="C702">
        <v>63</v>
      </c>
      <c r="D702" s="1" t="s">
        <v>671</v>
      </c>
      <c r="E702">
        <v>54351.06</v>
      </c>
      <c r="F702">
        <v>44599.67</v>
      </c>
      <c r="G702">
        <v>37</v>
      </c>
      <c r="H702">
        <v>7</v>
      </c>
      <c r="I702">
        <v>29062.87</v>
      </c>
      <c r="J702">
        <v>3329.15</v>
      </c>
      <c r="K702">
        <v>0</v>
      </c>
      <c r="L702">
        <v>2024</v>
      </c>
    </row>
    <row r="703" spans="1:12" x14ac:dyDescent="0.25">
      <c r="A703" s="1" t="s">
        <v>736</v>
      </c>
      <c r="B703" s="1" t="s">
        <v>14</v>
      </c>
      <c r="C703">
        <v>111</v>
      </c>
      <c r="D703" s="1" t="s">
        <v>671</v>
      </c>
      <c r="E703">
        <v>90979.34</v>
      </c>
      <c r="F703">
        <v>85681.42</v>
      </c>
      <c r="G703">
        <v>28</v>
      </c>
      <c r="H703">
        <v>8</v>
      </c>
      <c r="I703">
        <v>39636.92</v>
      </c>
      <c r="J703">
        <v>8079.05</v>
      </c>
      <c r="K703">
        <v>0</v>
      </c>
      <c r="L703">
        <v>2024</v>
      </c>
    </row>
    <row r="704" spans="1:12" x14ac:dyDescent="0.25">
      <c r="A704" s="1" t="s">
        <v>737</v>
      </c>
      <c r="B704" s="1" t="s">
        <v>17</v>
      </c>
      <c r="C704">
        <v>116</v>
      </c>
      <c r="D704" s="1" t="s">
        <v>671</v>
      </c>
      <c r="E704">
        <v>83271.850000000006</v>
      </c>
      <c r="F704">
        <v>86048.41</v>
      </c>
      <c r="G704">
        <v>52</v>
      </c>
      <c r="H704">
        <v>41</v>
      </c>
      <c r="I704">
        <v>63000.47</v>
      </c>
      <c r="J704">
        <v>0</v>
      </c>
      <c r="K704">
        <v>0</v>
      </c>
      <c r="L704">
        <v>2024</v>
      </c>
    </row>
    <row r="705" spans="1:12" x14ac:dyDescent="0.25">
      <c r="A705" s="1" t="s">
        <v>738</v>
      </c>
      <c r="B705" s="1" t="s">
        <v>17</v>
      </c>
      <c r="C705">
        <v>97</v>
      </c>
      <c r="D705" s="1" t="s">
        <v>671</v>
      </c>
      <c r="E705">
        <v>79938.94</v>
      </c>
      <c r="F705">
        <v>83005.16</v>
      </c>
      <c r="G705">
        <v>10</v>
      </c>
      <c r="H705">
        <v>25</v>
      </c>
      <c r="I705">
        <v>31063.9</v>
      </c>
      <c r="J705">
        <v>0</v>
      </c>
      <c r="K705">
        <v>1</v>
      </c>
      <c r="L705">
        <v>2024</v>
      </c>
    </row>
    <row r="706" spans="1:12" x14ac:dyDescent="0.25">
      <c r="A706" s="1" t="s">
        <v>739</v>
      </c>
      <c r="B706" s="1" t="s">
        <v>14</v>
      </c>
      <c r="C706">
        <v>109</v>
      </c>
      <c r="D706" s="1" t="s">
        <v>671</v>
      </c>
      <c r="E706">
        <v>94178.559999999998</v>
      </c>
      <c r="F706">
        <v>101116.76</v>
      </c>
      <c r="G706">
        <v>62</v>
      </c>
      <c r="H706">
        <v>37</v>
      </c>
      <c r="I706">
        <v>52685.440000000002</v>
      </c>
      <c r="J706">
        <v>581.53</v>
      </c>
      <c r="K706">
        <v>0</v>
      </c>
      <c r="L706">
        <v>2024</v>
      </c>
    </row>
    <row r="707" spans="1:12" x14ac:dyDescent="0.25">
      <c r="A707" s="1" t="s">
        <v>740</v>
      </c>
      <c r="B707" s="1" t="s">
        <v>15</v>
      </c>
      <c r="C707">
        <v>29</v>
      </c>
      <c r="D707" s="1" t="s">
        <v>741</v>
      </c>
      <c r="E707">
        <v>12392.23</v>
      </c>
      <c r="F707">
        <v>12781.63</v>
      </c>
      <c r="G707">
        <v>40</v>
      </c>
      <c r="H707">
        <v>35</v>
      </c>
      <c r="I707">
        <v>0</v>
      </c>
      <c r="J707">
        <v>6825.7</v>
      </c>
      <c r="K707">
        <v>0</v>
      </c>
      <c r="L707">
        <v>2024</v>
      </c>
    </row>
    <row r="708" spans="1:12" x14ac:dyDescent="0.25">
      <c r="A708" s="1" t="s">
        <v>742</v>
      </c>
      <c r="B708" s="1" t="s">
        <v>12</v>
      </c>
      <c r="C708">
        <v>34</v>
      </c>
      <c r="D708" s="1" t="s">
        <v>741</v>
      </c>
      <c r="E708">
        <v>49457.62</v>
      </c>
      <c r="F708">
        <v>43253.38</v>
      </c>
      <c r="G708">
        <v>24</v>
      </c>
      <c r="H708">
        <v>17</v>
      </c>
      <c r="I708">
        <v>33541.599999999999</v>
      </c>
      <c r="J708">
        <v>2131.7800000000002</v>
      </c>
      <c r="K708">
        <v>0</v>
      </c>
      <c r="L708">
        <v>2024</v>
      </c>
    </row>
    <row r="709" spans="1:12" x14ac:dyDescent="0.25">
      <c r="A709" s="1" t="s">
        <v>743</v>
      </c>
      <c r="B709" s="1" t="s">
        <v>18</v>
      </c>
      <c r="C709">
        <v>93</v>
      </c>
      <c r="D709" s="1" t="s">
        <v>741</v>
      </c>
      <c r="E709">
        <v>70067.490000000005</v>
      </c>
      <c r="F709">
        <v>68870.97</v>
      </c>
      <c r="G709">
        <v>50</v>
      </c>
      <c r="H709">
        <v>35</v>
      </c>
      <c r="I709">
        <v>23655.84</v>
      </c>
      <c r="J709">
        <v>11157.56</v>
      </c>
      <c r="K709">
        <v>0</v>
      </c>
      <c r="L709">
        <v>2024</v>
      </c>
    </row>
    <row r="710" spans="1:12" x14ac:dyDescent="0.25">
      <c r="A710" s="1" t="s">
        <v>744</v>
      </c>
      <c r="B710" s="1" t="s">
        <v>17</v>
      </c>
      <c r="C710">
        <v>109</v>
      </c>
      <c r="D710" s="1" t="s">
        <v>741</v>
      </c>
      <c r="E710">
        <v>90712.13</v>
      </c>
      <c r="F710">
        <v>58166.97</v>
      </c>
      <c r="G710">
        <v>10</v>
      </c>
      <c r="H710">
        <v>56</v>
      </c>
      <c r="I710">
        <v>19745.73</v>
      </c>
      <c r="J710">
        <v>3735.19</v>
      </c>
      <c r="K710">
        <v>1</v>
      </c>
      <c r="L710">
        <v>2024</v>
      </c>
    </row>
    <row r="711" spans="1:12" x14ac:dyDescent="0.25">
      <c r="A711" s="1" t="s">
        <v>745</v>
      </c>
      <c r="B711" s="1" t="s">
        <v>16</v>
      </c>
      <c r="C711">
        <v>11</v>
      </c>
      <c r="D711" s="1" t="s">
        <v>741</v>
      </c>
      <c r="E711">
        <v>9231.59</v>
      </c>
      <c r="F711">
        <v>7533.54</v>
      </c>
      <c r="G711">
        <v>45</v>
      </c>
      <c r="H711">
        <v>18</v>
      </c>
      <c r="I711">
        <v>8828.84</v>
      </c>
      <c r="J711">
        <v>0</v>
      </c>
      <c r="K711">
        <v>0</v>
      </c>
      <c r="L711">
        <v>2024</v>
      </c>
    </row>
    <row r="712" spans="1:12" x14ac:dyDescent="0.25">
      <c r="A712" s="1" t="s">
        <v>746</v>
      </c>
      <c r="B712" s="1" t="s">
        <v>14</v>
      </c>
      <c r="C712">
        <v>87</v>
      </c>
      <c r="D712" s="1" t="s">
        <v>741</v>
      </c>
      <c r="E712">
        <v>71260.53</v>
      </c>
      <c r="F712">
        <v>57519.25</v>
      </c>
      <c r="G712">
        <v>51</v>
      </c>
      <c r="H712">
        <v>39</v>
      </c>
      <c r="I712">
        <v>37049.68</v>
      </c>
      <c r="J712">
        <v>0</v>
      </c>
      <c r="K712">
        <v>0</v>
      </c>
      <c r="L712">
        <v>2024</v>
      </c>
    </row>
    <row r="713" spans="1:12" x14ac:dyDescent="0.25">
      <c r="A713" s="1" t="s">
        <v>747</v>
      </c>
      <c r="B713" s="1" t="s">
        <v>17</v>
      </c>
      <c r="C713">
        <v>71</v>
      </c>
      <c r="D713" s="1" t="s">
        <v>741</v>
      </c>
      <c r="E713">
        <v>79018.960000000006</v>
      </c>
      <c r="F713">
        <v>53720.97</v>
      </c>
      <c r="G713">
        <v>38</v>
      </c>
      <c r="H713">
        <v>25</v>
      </c>
      <c r="I713">
        <v>36916.04</v>
      </c>
      <c r="J713">
        <v>4796.79</v>
      </c>
      <c r="K713">
        <v>1</v>
      </c>
      <c r="L713">
        <v>2024</v>
      </c>
    </row>
    <row r="714" spans="1:12" x14ac:dyDescent="0.25">
      <c r="A714" s="1" t="s">
        <v>748</v>
      </c>
      <c r="B714" s="1" t="s">
        <v>14</v>
      </c>
      <c r="C714">
        <v>15</v>
      </c>
      <c r="D714" s="1" t="s">
        <v>741</v>
      </c>
      <c r="E714">
        <v>26547.32</v>
      </c>
      <c r="F714">
        <v>23741.7</v>
      </c>
      <c r="G714">
        <v>78</v>
      </c>
      <c r="H714">
        <v>0</v>
      </c>
      <c r="I714">
        <v>29394.07</v>
      </c>
      <c r="J714">
        <v>5277.07</v>
      </c>
      <c r="K714">
        <v>0</v>
      </c>
      <c r="L714">
        <v>2024</v>
      </c>
    </row>
    <row r="715" spans="1:12" x14ac:dyDescent="0.25">
      <c r="A715" s="1" t="s">
        <v>749</v>
      </c>
      <c r="B715" s="1" t="s">
        <v>18</v>
      </c>
      <c r="C715">
        <v>105</v>
      </c>
      <c r="D715" s="1" t="s">
        <v>741</v>
      </c>
      <c r="E715">
        <v>96691.32</v>
      </c>
      <c r="F715">
        <v>104163.53</v>
      </c>
      <c r="G715">
        <v>35</v>
      </c>
      <c r="H715">
        <v>10</v>
      </c>
      <c r="I715">
        <v>7043.3</v>
      </c>
      <c r="J715">
        <v>3493.75</v>
      </c>
      <c r="K715">
        <v>0</v>
      </c>
      <c r="L715">
        <v>2024</v>
      </c>
    </row>
    <row r="716" spans="1:12" x14ac:dyDescent="0.25">
      <c r="A716" s="1" t="s">
        <v>750</v>
      </c>
      <c r="B716" s="1" t="s">
        <v>12</v>
      </c>
      <c r="C716">
        <v>114</v>
      </c>
      <c r="D716" s="1" t="s">
        <v>741</v>
      </c>
      <c r="E716">
        <v>103825.51</v>
      </c>
      <c r="F716">
        <v>81763.94</v>
      </c>
      <c r="G716">
        <v>10</v>
      </c>
      <c r="H716">
        <v>39</v>
      </c>
      <c r="I716">
        <v>53699.49</v>
      </c>
      <c r="J716">
        <v>0</v>
      </c>
      <c r="K716">
        <v>0</v>
      </c>
      <c r="L716">
        <v>2024</v>
      </c>
    </row>
    <row r="717" spans="1:12" x14ac:dyDescent="0.25">
      <c r="A717" s="1" t="s">
        <v>751</v>
      </c>
      <c r="B717" s="1" t="s">
        <v>16</v>
      </c>
      <c r="C717">
        <v>16</v>
      </c>
      <c r="D717" s="1" t="s">
        <v>741</v>
      </c>
      <c r="E717">
        <v>27290.5</v>
      </c>
      <c r="F717">
        <v>19196.16</v>
      </c>
      <c r="G717">
        <v>15</v>
      </c>
      <c r="H717">
        <v>31</v>
      </c>
      <c r="I717">
        <v>50793.49</v>
      </c>
      <c r="J717">
        <v>0</v>
      </c>
      <c r="K717">
        <v>1</v>
      </c>
      <c r="L717">
        <v>2024</v>
      </c>
    </row>
    <row r="718" spans="1:12" x14ac:dyDescent="0.25">
      <c r="A718" s="1" t="s">
        <v>752</v>
      </c>
      <c r="B718" s="1" t="s">
        <v>12</v>
      </c>
      <c r="C718">
        <v>60</v>
      </c>
      <c r="D718" s="1" t="s">
        <v>741</v>
      </c>
      <c r="E718">
        <v>65336.46</v>
      </c>
      <c r="F718">
        <v>58149.51</v>
      </c>
      <c r="G718">
        <v>26</v>
      </c>
      <c r="H718">
        <v>58</v>
      </c>
      <c r="I718">
        <v>29405.08</v>
      </c>
      <c r="J718">
        <v>7085.06</v>
      </c>
      <c r="K718">
        <v>0</v>
      </c>
      <c r="L718">
        <v>2024</v>
      </c>
    </row>
    <row r="719" spans="1:12" x14ac:dyDescent="0.25">
      <c r="A719" s="1" t="s">
        <v>753</v>
      </c>
      <c r="B719" s="1" t="s">
        <v>12</v>
      </c>
      <c r="C719">
        <v>5</v>
      </c>
      <c r="D719" s="1" t="s">
        <v>741</v>
      </c>
      <c r="E719">
        <v>9203.39</v>
      </c>
      <c r="F719">
        <v>7621.48</v>
      </c>
      <c r="G719">
        <v>31</v>
      </c>
      <c r="H719">
        <v>19</v>
      </c>
      <c r="I719">
        <v>10992.95</v>
      </c>
      <c r="J719">
        <v>5850.15</v>
      </c>
      <c r="K719">
        <v>0</v>
      </c>
      <c r="L719">
        <v>2024</v>
      </c>
    </row>
    <row r="720" spans="1:12" x14ac:dyDescent="0.25">
      <c r="A720" s="1" t="s">
        <v>754</v>
      </c>
      <c r="B720" s="1" t="s">
        <v>16</v>
      </c>
      <c r="C720">
        <v>119</v>
      </c>
      <c r="D720" s="1" t="s">
        <v>741</v>
      </c>
      <c r="E720">
        <v>101325.14</v>
      </c>
      <c r="F720">
        <v>68911.72</v>
      </c>
      <c r="G720">
        <v>51</v>
      </c>
      <c r="H720">
        <v>43</v>
      </c>
      <c r="I720">
        <v>39213.620000000003</v>
      </c>
      <c r="J720">
        <v>0</v>
      </c>
      <c r="K720">
        <v>0</v>
      </c>
      <c r="L720">
        <v>2024</v>
      </c>
    </row>
    <row r="721" spans="1:12" x14ac:dyDescent="0.25">
      <c r="A721" s="1" t="s">
        <v>755</v>
      </c>
      <c r="B721" s="1" t="s">
        <v>16</v>
      </c>
      <c r="C721">
        <v>27</v>
      </c>
      <c r="D721" s="1" t="s">
        <v>741</v>
      </c>
      <c r="E721">
        <v>32524.75</v>
      </c>
      <c r="F721">
        <v>34502.82</v>
      </c>
      <c r="G721">
        <v>20</v>
      </c>
      <c r="H721">
        <v>22</v>
      </c>
      <c r="I721">
        <v>67756.06</v>
      </c>
      <c r="J721">
        <v>6170.98</v>
      </c>
      <c r="K721">
        <v>0</v>
      </c>
      <c r="L721">
        <v>2024</v>
      </c>
    </row>
    <row r="722" spans="1:12" x14ac:dyDescent="0.25">
      <c r="A722" s="1" t="s">
        <v>756</v>
      </c>
      <c r="B722" s="1" t="s">
        <v>18</v>
      </c>
      <c r="C722">
        <v>68</v>
      </c>
      <c r="D722" s="1" t="s">
        <v>741</v>
      </c>
      <c r="E722">
        <v>50906.14</v>
      </c>
      <c r="F722">
        <v>34345.949999999997</v>
      </c>
      <c r="G722">
        <v>72</v>
      </c>
      <c r="H722">
        <v>48</v>
      </c>
      <c r="I722">
        <v>55374.96</v>
      </c>
      <c r="J722">
        <v>0</v>
      </c>
      <c r="K722">
        <v>0</v>
      </c>
      <c r="L722">
        <v>2024</v>
      </c>
    </row>
    <row r="723" spans="1:12" x14ac:dyDescent="0.25">
      <c r="A723" s="1" t="s">
        <v>757</v>
      </c>
      <c r="B723" s="1" t="s">
        <v>14</v>
      </c>
      <c r="C723">
        <v>104</v>
      </c>
      <c r="D723" s="1" t="s">
        <v>741</v>
      </c>
      <c r="E723">
        <v>94207.99</v>
      </c>
      <c r="F723">
        <v>87158.9</v>
      </c>
      <c r="G723">
        <v>65</v>
      </c>
      <c r="H723">
        <v>34</v>
      </c>
      <c r="I723">
        <v>59761.54</v>
      </c>
      <c r="J723">
        <v>0</v>
      </c>
      <c r="K723">
        <v>0</v>
      </c>
      <c r="L723">
        <v>2024</v>
      </c>
    </row>
    <row r="724" spans="1:12" x14ac:dyDescent="0.25">
      <c r="A724" s="1" t="s">
        <v>758</v>
      </c>
      <c r="B724" s="1" t="s">
        <v>15</v>
      </c>
      <c r="C724">
        <v>44</v>
      </c>
      <c r="D724" s="1" t="s">
        <v>741</v>
      </c>
      <c r="E724">
        <v>32474.79</v>
      </c>
      <c r="F724">
        <v>33327.24</v>
      </c>
      <c r="G724">
        <v>41</v>
      </c>
      <c r="H724">
        <v>58</v>
      </c>
      <c r="I724">
        <v>10525.58</v>
      </c>
      <c r="J724">
        <v>2162</v>
      </c>
      <c r="K724">
        <v>0</v>
      </c>
      <c r="L724">
        <v>2024</v>
      </c>
    </row>
    <row r="725" spans="1:12" x14ac:dyDescent="0.25">
      <c r="A725" s="1" t="s">
        <v>759</v>
      </c>
      <c r="B725" s="1" t="s">
        <v>12</v>
      </c>
      <c r="C725">
        <v>23</v>
      </c>
      <c r="D725" s="1" t="s">
        <v>741</v>
      </c>
      <c r="E725">
        <v>38213.57</v>
      </c>
      <c r="F725">
        <v>26939.91</v>
      </c>
      <c r="G725">
        <v>40</v>
      </c>
      <c r="H725">
        <v>23</v>
      </c>
      <c r="I725">
        <v>15403.76</v>
      </c>
      <c r="J725">
        <v>6669.71</v>
      </c>
      <c r="K725">
        <v>1</v>
      </c>
      <c r="L725">
        <v>2024</v>
      </c>
    </row>
    <row r="726" spans="1:12" x14ac:dyDescent="0.25">
      <c r="A726" s="1" t="s">
        <v>760</v>
      </c>
      <c r="B726" s="1" t="s">
        <v>17</v>
      </c>
      <c r="C726">
        <v>24</v>
      </c>
      <c r="D726" s="1" t="s">
        <v>741</v>
      </c>
      <c r="E726">
        <v>22308.45</v>
      </c>
      <c r="F726">
        <v>23042.400000000001</v>
      </c>
      <c r="G726">
        <v>44</v>
      </c>
      <c r="H726">
        <v>41</v>
      </c>
      <c r="I726">
        <v>48830.71</v>
      </c>
      <c r="J726">
        <v>0</v>
      </c>
      <c r="K726">
        <v>0</v>
      </c>
      <c r="L726">
        <v>2024</v>
      </c>
    </row>
    <row r="727" spans="1:12" x14ac:dyDescent="0.25">
      <c r="A727" s="1" t="s">
        <v>761</v>
      </c>
      <c r="B727" s="1" t="s">
        <v>16</v>
      </c>
      <c r="C727">
        <v>64</v>
      </c>
      <c r="D727" s="1" t="s">
        <v>741</v>
      </c>
      <c r="E727">
        <v>68738.509999999995</v>
      </c>
      <c r="F727">
        <v>47733.83</v>
      </c>
      <c r="G727">
        <v>49</v>
      </c>
      <c r="H727">
        <v>48</v>
      </c>
      <c r="I727">
        <v>75667.490000000005</v>
      </c>
      <c r="J727">
        <v>5948.94</v>
      </c>
      <c r="K727">
        <v>1</v>
      </c>
      <c r="L727">
        <v>2024</v>
      </c>
    </row>
    <row r="728" spans="1:12" x14ac:dyDescent="0.25">
      <c r="A728" s="1" t="s">
        <v>762</v>
      </c>
      <c r="B728" s="1" t="s">
        <v>16</v>
      </c>
      <c r="C728">
        <v>97</v>
      </c>
      <c r="D728" s="1" t="s">
        <v>741</v>
      </c>
      <c r="E728">
        <v>77840.479999999996</v>
      </c>
      <c r="F728">
        <v>77213.47</v>
      </c>
      <c r="G728">
        <v>26</v>
      </c>
      <c r="H728">
        <v>10</v>
      </c>
      <c r="I728">
        <v>10259.870000000001</v>
      </c>
      <c r="J728">
        <v>7392.17</v>
      </c>
      <c r="K728">
        <v>0</v>
      </c>
      <c r="L728">
        <v>2024</v>
      </c>
    </row>
    <row r="729" spans="1:12" x14ac:dyDescent="0.25">
      <c r="A729" s="1" t="s">
        <v>763</v>
      </c>
      <c r="B729" s="1" t="s">
        <v>18</v>
      </c>
      <c r="C729">
        <v>38</v>
      </c>
      <c r="D729" s="1" t="s">
        <v>741</v>
      </c>
      <c r="E729">
        <v>20810.46</v>
      </c>
      <c r="F729">
        <v>21819.84</v>
      </c>
      <c r="G729">
        <v>43</v>
      </c>
      <c r="H729">
        <v>11</v>
      </c>
      <c r="I729">
        <v>60233.86</v>
      </c>
      <c r="J729">
        <v>4467.09</v>
      </c>
      <c r="K729">
        <v>0</v>
      </c>
      <c r="L729">
        <v>2024</v>
      </c>
    </row>
    <row r="730" spans="1:12" x14ac:dyDescent="0.25">
      <c r="A730" s="1" t="s">
        <v>764</v>
      </c>
      <c r="B730" s="1" t="s">
        <v>16</v>
      </c>
      <c r="C730">
        <v>66</v>
      </c>
      <c r="D730" s="1" t="s">
        <v>741</v>
      </c>
      <c r="E730">
        <v>64869.94</v>
      </c>
      <c r="F730">
        <v>41265.18</v>
      </c>
      <c r="G730">
        <v>52</v>
      </c>
      <c r="H730">
        <v>38</v>
      </c>
      <c r="I730">
        <v>42981.45</v>
      </c>
      <c r="J730">
        <v>3518.02</v>
      </c>
      <c r="K730">
        <v>0</v>
      </c>
      <c r="L730">
        <v>2024</v>
      </c>
    </row>
    <row r="731" spans="1:12" x14ac:dyDescent="0.25">
      <c r="A731" s="1" t="s">
        <v>765</v>
      </c>
      <c r="B731" s="1" t="s">
        <v>12</v>
      </c>
      <c r="C731">
        <v>71</v>
      </c>
      <c r="D731" s="1" t="s">
        <v>741</v>
      </c>
      <c r="E731">
        <v>62615.32</v>
      </c>
      <c r="F731">
        <v>45236.41</v>
      </c>
      <c r="G731">
        <v>36</v>
      </c>
      <c r="H731">
        <v>20</v>
      </c>
      <c r="I731">
        <v>41814.629999999997</v>
      </c>
      <c r="J731">
        <v>5071.4799999999996</v>
      </c>
      <c r="K731">
        <v>0</v>
      </c>
      <c r="L731">
        <v>2024</v>
      </c>
    </row>
    <row r="732" spans="1:12" x14ac:dyDescent="0.25">
      <c r="A732" s="1" t="s">
        <v>766</v>
      </c>
      <c r="B732" s="1" t="s">
        <v>12</v>
      </c>
      <c r="C732">
        <v>48</v>
      </c>
      <c r="D732" s="1" t="s">
        <v>741</v>
      </c>
      <c r="E732">
        <v>44801.26</v>
      </c>
      <c r="F732">
        <v>41153.07</v>
      </c>
      <c r="G732">
        <v>23</v>
      </c>
      <c r="H732">
        <v>26</v>
      </c>
      <c r="I732">
        <v>23796.39</v>
      </c>
      <c r="J732">
        <v>6191.94</v>
      </c>
      <c r="K732">
        <v>0</v>
      </c>
      <c r="L732">
        <v>2024</v>
      </c>
    </row>
    <row r="733" spans="1:12" x14ac:dyDescent="0.25">
      <c r="A733" s="1" t="s">
        <v>767</v>
      </c>
      <c r="B733" s="1" t="s">
        <v>17</v>
      </c>
      <c r="C733">
        <v>31</v>
      </c>
      <c r="D733" s="1" t="s">
        <v>741</v>
      </c>
      <c r="E733">
        <v>11020.19</v>
      </c>
      <c r="F733">
        <v>11166.9</v>
      </c>
      <c r="G733">
        <v>46</v>
      </c>
      <c r="H733">
        <v>21</v>
      </c>
      <c r="I733">
        <v>46497</v>
      </c>
      <c r="J733">
        <v>5730.98</v>
      </c>
      <c r="K733">
        <v>0</v>
      </c>
      <c r="L733">
        <v>2024</v>
      </c>
    </row>
    <row r="734" spans="1:12" x14ac:dyDescent="0.25">
      <c r="A734" s="1" t="s">
        <v>768</v>
      </c>
      <c r="B734" s="1" t="s">
        <v>14</v>
      </c>
      <c r="C734">
        <v>45</v>
      </c>
      <c r="D734" s="1" t="s">
        <v>741</v>
      </c>
      <c r="E734">
        <v>49767.92</v>
      </c>
      <c r="F734">
        <v>32873.300000000003</v>
      </c>
      <c r="G734">
        <v>32</v>
      </c>
      <c r="H734">
        <v>43</v>
      </c>
      <c r="I734">
        <v>13959.67</v>
      </c>
      <c r="J734">
        <v>2939.4</v>
      </c>
      <c r="K734">
        <v>0</v>
      </c>
      <c r="L734">
        <v>2024</v>
      </c>
    </row>
    <row r="735" spans="1:12" x14ac:dyDescent="0.25">
      <c r="A735" s="1" t="s">
        <v>769</v>
      </c>
      <c r="B735" s="1" t="s">
        <v>14</v>
      </c>
      <c r="C735">
        <v>68</v>
      </c>
      <c r="D735" s="1" t="s">
        <v>741</v>
      </c>
      <c r="E735">
        <v>48429.85</v>
      </c>
      <c r="F735">
        <v>50122.38</v>
      </c>
      <c r="G735">
        <v>29</v>
      </c>
      <c r="H735">
        <v>21</v>
      </c>
      <c r="I735">
        <v>59385.62</v>
      </c>
      <c r="J735">
        <v>0</v>
      </c>
      <c r="K735">
        <v>0</v>
      </c>
      <c r="L735">
        <v>2024</v>
      </c>
    </row>
    <row r="736" spans="1:12" x14ac:dyDescent="0.25">
      <c r="A736" s="1" t="s">
        <v>770</v>
      </c>
      <c r="B736" s="1" t="s">
        <v>12</v>
      </c>
      <c r="C736">
        <v>77</v>
      </c>
      <c r="D736" s="1" t="s">
        <v>741</v>
      </c>
      <c r="E736">
        <v>82741.320000000007</v>
      </c>
      <c r="F736">
        <v>85636.37</v>
      </c>
      <c r="G736">
        <v>33</v>
      </c>
      <c r="H736">
        <v>2</v>
      </c>
      <c r="I736">
        <v>21258.639999999999</v>
      </c>
      <c r="J736">
        <v>2951.44</v>
      </c>
      <c r="K736">
        <v>0</v>
      </c>
      <c r="L736">
        <v>2024</v>
      </c>
    </row>
    <row r="737" spans="1:12" x14ac:dyDescent="0.25">
      <c r="A737" s="1" t="s">
        <v>771</v>
      </c>
      <c r="B737" s="1" t="s">
        <v>14</v>
      </c>
      <c r="C737">
        <v>87</v>
      </c>
      <c r="D737" s="1" t="s">
        <v>741</v>
      </c>
      <c r="E737">
        <v>68002.460000000006</v>
      </c>
      <c r="F737">
        <v>44478.5</v>
      </c>
      <c r="G737">
        <v>35</v>
      </c>
      <c r="H737">
        <v>35</v>
      </c>
      <c r="I737">
        <v>30839.23</v>
      </c>
      <c r="J737">
        <v>3135.14</v>
      </c>
      <c r="K737">
        <v>0</v>
      </c>
      <c r="L737">
        <v>2024</v>
      </c>
    </row>
    <row r="738" spans="1:12" x14ac:dyDescent="0.25">
      <c r="A738" s="1" t="s">
        <v>772</v>
      </c>
      <c r="B738" s="1" t="s">
        <v>18</v>
      </c>
      <c r="C738">
        <v>60</v>
      </c>
      <c r="D738" s="1" t="s">
        <v>741</v>
      </c>
      <c r="E738">
        <v>51296.97</v>
      </c>
      <c r="F738">
        <v>45813.23</v>
      </c>
      <c r="G738">
        <v>15</v>
      </c>
      <c r="H738">
        <v>26</v>
      </c>
      <c r="I738">
        <v>19374.43</v>
      </c>
      <c r="J738">
        <v>3436.74</v>
      </c>
      <c r="K738">
        <v>1</v>
      </c>
      <c r="L738">
        <v>2024</v>
      </c>
    </row>
    <row r="739" spans="1:12" x14ac:dyDescent="0.25">
      <c r="A739" s="1" t="s">
        <v>773</v>
      </c>
      <c r="B739" s="1" t="s">
        <v>18</v>
      </c>
      <c r="C739">
        <v>66</v>
      </c>
      <c r="D739" s="1" t="s">
        <v>741</v>
      </c>
      <c r="E739">
        <v>48518.34</v>
      </c>
      <c r="F739">
        <v>52393.38</v>
      </c>
      <c r="G739">
        <v>21</v>
      </c>
      <c r="H739">
        <v>55</v>
      </c>
      <c r="I739">
        <v>63955.19</v>
      </c>
      <c r="J739">
        <v>5547.75</v>
      </c>
      <c r="K739">
        <v>1</v>
      </c>
      <c r="L739">
        <v>2024</v>
      </c>
    </row>
    <row r="740" spans="1:12" x14ac:dyDescent="0.25">
      <c r="A740" s="1" t="s">
        <v>774</v>
      </c>
      <c r="B740" s="1" t="s">
        <v>18</v>
      </c>
      <c r="C740">
        <v>112</v>
      </c>
      <c r="D740" s="1" t="s">
        <v>741</v>
      </c>
      <c r="E740">
        <v>90376.22</v>
      </c>
      <c r="F740">
        <v>71230.649999999994</v>
      </c>
      <c r="G740">
        <v>43</v>
      </c>
      <c r="H740">
        <v>48</v>
      </c>
      <c r="I740">
        <v>31187.82</v>
      </c>
      <c r="J740">
        <v>0</v>
      </c>
      <c r="K740">
        <v>0</v>
      </c>
      <c r="L740">
        <v>2024</v>
      </c>
    </row>
    <row r="741" spans="1:12" x14ac:dyDescent="0.25">
      <c r="A741" s="1" t="s">
        <v>775</v>
      </c>
      <c r="B741" s="1" t="s">
        <v>18</v>
      </c>
      <c r="C741">
        <v>110</v>
      </c>
      <c r="D741" s="1" t="s">
        <v>741</v>
      </c>
      <c r="E741">
        <v>103754.35</v>
      </c>
      <c r="F741">
        <v>110016.71</v>
      </c>
      <c r="G741">
        <v>44</v>
      </c>
      <c r="H741">
        <v>55</v>
      </c>
      <c r="I741">
        <v>2153.15</v>
      </c>
      <c r="J741">
        <v>9389.65</v>
      </c>
      <c r="K741">
        <v>0</v>
      </c>
      <c r="L741">
        <v>2024</v>
      </c>
    </row>
    <row r="742" spans="1:12" x14ac:dyDescent="0.25">
      <c r="A742" s="1" t="s">
        <v>776</v>
      </c>
      <c r="B742" s="1" t="s">
        <v>16</v>
      </c>
      <c r="C742">
        <v>33</v>
      </c>
      <c r="D742" s="1" t="s">
        <v>741</v>
      </c>
      <c r="E742">
        <v>36625.07</v>
      </c>
      <c r="F742">
        <v>37295.82</v>
      </c>
      <c r="G742">
        <v>65</v>
      </c>
      <c r="H742">
        <v>64</v>
      </c>
      <c r="I742">
        <v>31260.37</v>
      </c>
      <c r="J742">
        <v>5562.93</v>
      </c>
      <c r="K742">
        <v>0</v>
      </c>
      <c r="L742">
        <v>2024</v>
      </c>
    </row>
    <row r="743" spans="1:12" x14ac:dyDescent="0.25">
      <c r="A743" s="1" t="s">
        <v>777</v>
      </c>
      <c r="B743" s="1" t="s">
        <v>14</v>
      </c>
      <c r="C743">
        <v>91</v>
      </c>
      <c r="D743" s="1" t="s">
        <v>741</v>
      </c>
      <c r="E743">
        <v>62722.21</v>
      </c>
      <c r="F743">
        <v>51410.14</v>
      </c>
      <c r="G743">
        <v>25</v>
      </c>
      <c r="H743">
        <v>35</v>
      </c>
      <c r="I743">
        <v>62731.69</v>
      </c>
      <c r="J743">
        <v>205.1</v>
      </c>
      <c r="K743">
        <v>0</v>
      </c>
      <c r="L743">
        <v>2024</v>
      </c>
    </row>
    <row r="744" spans="1:12" x14ac:dyDescent="0.25">
      <c r="A744" s="1" t="s">
        <v>778</v>
      </c>
      <c r="B744" s="1" t="s">
        <v>18</v>
      </c>
      <c r="C744">
        <v>108</v>
      </c>
      <c r="D744" s="1" t="s">
        <v>741</v>
      </c>
      <c r="E744">
        <v>85064.12</v>
      </c>
      <c r="F744">
        <v>51971.37</v>
      </c>
      <c r="G744">
        <v>59</v>
      </c>
      <c r="H744">
        <v>31</v>
      </c>
      <c r="I744">
        <v>31230.04</v>
      </c>
      <c r="J744">
        <v>473.08</v>
      </c>
      <c r="K744">
        <v>0</v>
      </c>
      <c r="L744">
        <v>2024</v>
      </c>
    </row>
    <row r="745" spans="1:12" x14ac:dyDescent="0.25">
      <c r="A745" s="1" t="s">
        <v>779</v>
      </c>
      <c r="B745" s="1" t="s">
        <v>12</v>
      </c>
      <c r="C745">
        <v>54</v>
      </c>
      <c r="D745" s="1" t="s">
        <v>741</v>
      </c>
      <c r="E745">
        <v>50017.14</v>
      </c>
      <c r="F745">
        <v>52747.66</v>
      </c>
      <c r="G745">
        <v>13</v>
      </c>
      <c r="H745">
        <v>23</v>
      </c>
      <c r="I745">
        <v>48763.42</v>
      </c>
      <c r="J745">
        <v>10533.91</v>
      </c>
      <c r="K745">
        <v>0</v>
      </c>
      <c r="L745">
        <v>2024</v>
      </c>
    </row>
    <row r="746" spans="1:12" x14ac:dyDescent="0.25">
      <c r="A746" s="1" t="s">
        <v>780</v>
      </c>
      <c r="B746" s="1" t="s">
        <v>16</v>
      </c>
      <c r="C746">
        <v>21</v>
      </c>
      <c r="D746" s="1" t="s">
        <v>741</v>
      </c>
      <c r="E746">
        <v>41077.449999999997</v>
      </c>
      <c r="F746">
        <v>40956.1</v>
      </c>
      <c r="G746">
        <v>21</v>
      </c>
      <c r="H746">
        <v>34</v>
      </c>
      <c r="I746">
        <v>14325.46</v>
      </c>
      <c r="J746">
        <v>0</v>
      </c>
      <c r="K746">
        <v>0</v>
      </c>
      <c r="L746">
        <v>2024</v>
      </c>
    </row>
    <row r="747" spans="1:12" x14ac:dyDescent="0.25">
      <c r="A747" s="1" t="s">
        <v>781</v>
      </c>
      <c r="B747" s="1" t="s">
        <v>14</v>
      </c>
      <c r="C747">
        <v>50</v>
      </c>
      <c r="D747" s="1" t="s">
        <v>741</v>
      </c>
      <c r="E747">
        <v>29592.28</v>
      </c>
      <c r="F747">
        <v>28675.65</v>
      </c>
      <c r="G747">
        <v>10</v>
      </c>
      <c r="H747">
        <v>2</v>
      </c>
      <c r="I747">
        <v>58327.64</v>
      </c>
      <c r="J747">
        <v>0</v>
      </c>
      <c r="K747">
        <v>0</v>
      </c>
      <c r="L747">
        <v>2024</v>
      </c>
    </row>
    <row r="748" spans="1:12" x14ac:dyDescent="0.25">
      <c r="A748" s="1" t="s">
        <v>782</v>
      </c>
      <c r="B748" s="1" t="s">
        <v>14</v>
      </c>
      <c r="C748">
        <v>42</v>
      </c>
      <c r="D748" s="1" t="s">
        <v>741</v>
      </c>
      <c r="E748">
        <v>48847.23</v>
      </c>
      <c r="F748">
        <v>43441.93</v>
      </c>
      <c r="G748">
        <v>37</v>
      </c>
      <c r="H748">
        <v>0</v>
      </c>
      <c r="I748">
        <v>31257.85</v>
      </c>
      <c r="J748">
        <v>0</v>
      </c>
      <c r="K748">
        <v>0</v>
      </c>
      <c r="L748">
        <v>2024</v>
      </c>
    </row>
    <row r="749" spans="1:12" x14ac:dyDescent="0.25">
      <c r="A749" s="1" t="s">
        <v>783</v>
      </c>
      <c r="B749" s="1" t="s">
        <v>17</v>
      </c>
      <c r="C749">
        <v>92</v>
      </c>
      <c r="D749" s="1" t="s">
        <v>741</v>
      </c>
      <c r="E749">
        <v>81333.710000000006</v>
      </c>
      <c r="F749">
        <v>67795.210000000006</v>
      </c>
      <c r="G749">
        <v>31</v>
      </c>
      <c r="H749">
        <v>44</v>
      </c>
      <c r="I749">
        <v>88989.65</v>
      </c>
      <c r="J749">
        <v>0</v>
      </c>
      <c r="K749">
        <v>0</v>
      </c>
      <c r="L749">
        <v>2024</v>
      </c>
    </row>
    <row r="750" spans="1:12" x14ac:dyDescent="0.25">
      <c r="A750" s="1" t="s">
        <v>784</v>
      </c>
      <c r="B750" s="1" t="s">
        <v>12</v>
      </c>
      <c r="C750">
        <v>24</v>
      </c>
      <c r="D750" s="1" t="s">
        <v>741</v>
      </c>
      <c r="E750">
        <v>18481.080000000002</v>
      </c>
      <c r="F750">
        <v>15839.48</v>
      </c>
      <c r="G750">
        <v>52</v>
      </c>
      <c r="H750">
        <v>39</v>
      </c>
      <c r="I750">
        <v>36141.21</v>
      </c>
      <c r="J750">
        <v>295.35000000000002</v>
      </c>
      <c r="K750">
        <v>0</v>
      </c>
      <c r="L750">
        <v>2024</v>
      </c>
    </row>
    <row r="751" spans="1:12" x14ac:dyDescent="0.25">
      <c r="A751" s="1" t="s">
        <v>785</v>
      </c>
      <c r="B751" s="1" t="s">
        <v>18</v>
      </c>
      <c r="C751">
        <v>94</v>
      </c>
      <c r="D751" s="1" t="s">
        <v>741</v>
      </c>
      <c r="E751">
        <v>79042.13</v>
      </c>
      <c r="F751">
        <v>63215.37</v>
      </c>
      <c r="G751">
        <v>53</v>
      </c>
      <c r="H751">
        <v>2</v>
      </c>
      <c r="I751">
        <v>43934.63</v>
      </c>
      <c r="J751">
        <v>4699.43</v>
      </c>
      <c r="K751">
        <v>0</v>
      </c>
      <c r="L751">
        <v>2024</v>
      </c>
    </row>
    <row r="752" spans="1:12" x14ac:dyDescent="0.25">
      <c r="A752" s="1" t="s">
        <v>786</v>
      </c>
      <c r="B752" s="1" t="s">
        <v>18</v>
      </c>
      <c r="C752">
        <v>54</v>
      </c>
      <c r="D752" s="1" t="s">
        <v>741</v>
      </c>
      <c r="E752">
        <v>42970.38</v>
      </c>
      <c r="F752">
        <v>41440.449999999997</v>
      </c>
      <c r="G752">
        <v>28</v>
      </c>
      <c r="H752">
        <v>36</v>
      </c>
      <c r="I752">
        <v>25167.11</v>
      </c>
      <c r="J752">
        <v>0</v>
      </c>
      <c r="K752">
        <v>0</v>
      </c>
      <c r="L752">
        <v>2024</v>
      </c>
    </row>
    <row r="753" spans="1:12" x14ac:dyDescent="0.25">
      <c r="A753" s="1" t="s">
        <v>787</v>
      </c>
      <c r="B753" s="1" t="s">
        <v>15</v>
      </c>
      <c r="C753">
        <v>68</v>
      </c>
      <c r="D753" s="1" t="s">
        <v>741</v>
      </c>
      <c r="E753">
        <v>72131.86</v>
      </c>
      <c r="F753">
        <v>69061.45</v>
      </c>
      <c r="G753">
        <v>44</v>
      </c>
      <c r="H753">
        <v>35</v>
      </c>
      <c r="I753">
        <v>27379.52</v>
      </c>
      <c r="J753">
        <v>5798.45</v>
      </c>
      <c r="K753">
        <v>0</v>
      </c>
      <c r="L753">
        <v>2024</v>
      </c>
    </row>
    <row r="754" spans="1:12" x14ac:dyDescent="0.25">
      <c r="A754" s="1" t="s">
        <v>788</v>
      </c>
      <c r="B754" s="1" t="s">
        <v>14</v>
      </c>
      <c r="C754">
        <v>20</v>
      </c>
      <c r="D754" s="1" t="s">
        <v>741</v>
      </c>
      <c r="E754">
        <v>26758.47</v>
      </c>
      <c r="F754">
        <v>15994.6</v>
      </c>
      <c r="G754">
        <v>47</v>
      </c>
      <c r="H754">
        <v>36</v>
      </c>
      <c r="I754">
        <v>35418.120000000003</v>
      </c>
      <c r="J754">
        <v>3542.62</v>
      </c>
      <c r="K754">
        <v>0</v>
      </c>
      <c r="L754">
        <v>2024</v>
      </c>
    </row>
    <row r="755" spans="1:12" x14ac:dyDescent="0.25">
      <c r="A755" s="1" t="s">
        <v>789</v>
      </c>
      <c r="B755" s="1" t="s">
        <v>15</v>
      </c>
      <c r="C755">
        <v>77</v>
      </c>
      <c r="D755" s="1" t="s">
        <v>741</v>
      </c>
      <c r="E755">
        <v>57856.160000000003</v>
      </c>
      <c r="F755">
        <v>59284.93</v>
      </c>
      <c r="G755">
        <v>44</v>
      </c>
      <c r="H755">
        <v>5</v>
      </c>
      <c r="I755">
        <v>25568.17</v>
      </c>
      <c r="J755">
        <v>0</v>
      </c>
      <c r="K755">
        <v>0</v>
      </c>
      <c r="L755">
        <v>2024</v>
      </c>
    </row>
    <row r="756" spans="1:12" x14ac:dyDescent="0.25">
      <c r="A756" s="1" t="s">
        <v>790</v>
      </c>
      <c r="B756" s="1" t="s">
        <v>14</v>
      </c>
      <c r="C756">
        <v>4</v>
      </c>
      <c r="D756" s="1" t="s">
        <v>741</v>
      </c>
      <c r="E756">
        <v>13375.1</v>
      </c>
      <c r="F756">
        <v>12877.94</v>
      </c>
      <c r="G756">
        <v>31</v>
      </c>
      <c r="H756">
        <v>12</v>
      </c>
      <c r="I756">
        <v>10523.34</v>
      </c>
      <c r="J756">
        <v>1535.92</v>
      </c>
      <c r="K756">
        <v>0</v>
      </c>
      <c r="L756">
        <v>2024</v>
      </c>
    </row>
    <row r="757" spans="1:12" x14ac:dyDescent="0.25">
      <c r="A757" s="1" t="s">
        <v>791</v>
      </c>
      <c r="B757" s="1" t="s">
        <v>16</v>
      </c>
      <c r="C757">
        <v>39</v>
      </c>
      <c r="D757" s="1" t="s">
        <v>741</v>
      </c>
      <c r="E757">
        <v>35354.31</v>
      </c>
      <c r="F757">
        <v>27000.3</v>
      </c>
      <c r="G757">
        <v>26</v>
      </c>
      <c r="H757">
        <v>29</v>
      </c>
      <c r="I757">
        <v>66132.929999999993</v>
      </c>
      <c r="J757">
        <v>821.52</v>
      </c>
      <c r="K757">
        <v>0</v>
      </c>
      <c r="L757">
        <v>2024</v>
      </c>
    </row>
    <row r="758" spans="1:12" x14ac:dyDescent="0.25">
      <c r="A758" s="1" t="s">
        <v>792</v>
      </c>
      <c r="B758" s="1" t="s">
        <v>14</v>
      </c>
      <c r="C758">
        <v>104</v>
      </c>
      <c r="D758" s="1" t="s">
        <v>741</v>
      </c>
      <c r="E758">
        <v>96173.37</v>
      </c>
      <c r="F758">
        <v>96244.57</v>
      </c>
      <c r="G758">
        <v>54</v>
      </c>
      <c r="H758">
        <v>28</v>
      </c>
      <c r="I758">
        <v>51205.15</v>
      </c>
      <c r="J758">
        <v>7757.28</v>
      </c>
      <c r="K758">
        <v>0</v>
      </c>
      <c r="L758">
        <v>2024</v>
      </c>
    </row>
    <row r="759" spans="1:12" x14ac:dyDescent="0.25">
      <c r="A759" s="1" t="s">
        <v>793</v>
      </c>
      <c r="B759" s="1" t="s">
        <v>14</v>
      </c>
      <c r="C759">
        <v>48</v>
      </c>
      <c r="D759" s="1" t="s">
        <v>741</v>
      </c>
      <c r="E759">
        <v>35530.21</v>
      </c>
      <c r="F759">
        <v>29250.71</v>
      </c>
      <c r="G759">
        <v>30</v>
      </c>
      <c r="H759">
        <v>52</v>
      </c>
      <c r="I759">
        <v>56662.2</v>
      </c>
      <c r="J759">
        <v>2522.19</v>
      </c>
      <c r="K759">
        <v>0</v>
      </c>
      <c r="L759">
        <v>2024</v>
      </c>
    </row>
    <row r="760" spans="1:12" x14ac:dyDescent="0.25">
      <c r="A760" s="1" t="s">
        <v>794</v>
      </c>
      <c r="B760" s="1" t="s">
        <v>12</v>
      </c>
      <c r="C760">
        <v>34</v>
      </c>
      <c r="D760" s="1" t="s">
        <v>741</v>
      </c>
      <c r="E760">
        <v>39474.559999999998</v>
      </c>
      <c r="F760">
        <v>36971.730000000003</v>
      </c>
      <c r="G760">
        <v>48</v>
      </c>
      <c r="H760">
        <v>33</v>
      </c>
      <c r="I760">
        <v>8206.4</v>
      </c>
      <c r="J760">
        <v>10682.47</v>
      </c>
      <c r="K760">
        <v>0</v>
      </c>
      <c r="L760">
        <v>2024</v>
      </c>
    </row>
    <row r="761" spans="1:12" x14ac:dyDescent="0.25">
      <c r="A761" s="1" t="s">
        <v>795</v>
      </c>
      <c r="B761" s="1" t="s">
        <v>14</v>
      </c>
      <c r="C761">
        <v>91</v>
      </c>
      <c r="D761" s="1" t="s">
        <v>741</v>
      </c>
      <c r="E761">
        <v>79027.820000000007</v>
      </c>
      <c r="F761">
        <v>53513.4</v>
      </c>
      <c r="G761">
        <v>42</v>
      </c>
      <c r="H761">
        <v>35</v>
      </c>
      <c r="I761">
        <v>30668.46</v>
      </c>
      <c r="J761">
        <v>0</v>
      </c>
      <c r="K761">
        <v>0</v>
      </c>
      <c r="L761">
        <v>2024</v>
      </c>
    </row>
    <row r="762" spans="1:12" x14ac:dyDescent="0.25">
      <c r="A762" s="1" t="s">
        <v>796</v>
      </c>
      <c r="B762" s="1" t="s">
        <v>14</v>
      </c>
      <c r="C762">
        <v>45</v>
      </c>
      <c r="D762" s="1" t="s">
        <v>741</v>
      </c>
      <c r="E762">
        <v>39402.660000000003</v>
      </c>
      <c r="F762">
        <v>40991.93</v>
      </c>
      <c r="G762">
        <v>36</v>
      </c>
      <c r="H762">
        <v>5</v>
      </c>
      <c r="I762">
        <v>26051.21</v>
      </c>
      <c r="J762">
        <v>853.04</v>
      </c>
      <c r="K762">
        <v>0</v>
      </c>
      <c r="L762">
        <v>2024</v>
      </c>
    </row>
    <row r="763" spans="1:12" x14ac:dyDescent="0.25">
      <c r="A763" s="1" t="s">
        <v>797</v>
      </c>
      <c r="B763" s="1" t="s">
        <v>17</v>
      </c>
      <c r="C763">
        <v>71</v>
      </c>
      <c r="D763" s="1" t="s">
        <v>741</v>
      </c>
      <c r="E763">
        <v>62972.2</v>
      </c>
      <c r="F763">
        <v>41046.69</v>
      </c>
      <c r="G763">
        <v>22</v>
      </c>
      <c r="H763">
        <v>48</v>
      </c>
      <c r="I763">
        <v>54410.67</v>
      </c>
      <c r="J763">
        <v>1661.28</v>
      </c>
      <c r="K763">
        <v>0</v>
      </c>
      <c r="L763">
        <v>2024</v>
      </c>
    </row>
    <row r="764" spans="1:12" x14ac:dyDescent="0.25">
      <c r="A764" s="1" t="s">
        <v>798</v>
      </c>
      <c r="B764" s="1" t="s">
        <v>15</v>
      </c>
      <c r="C764">
        <v>6</v>
      </c>
      <c r="D764" s="1" t="s">
        <v>741</v>
      </c>
      <c r="E764">
        <v>17857.61</v>
      </c>
      <c r="F764">
        <v>16418.560000000001</v>
      </c>
      <c r="G764">
        <v>41</v>
      </c>
      <c r="H764">
        <v>34</v>
      </c>
      <c r="I764">
        <v>56359.64</v>
      </c>
      <c r="J764">
        <v>1528.22</v>
      </c>
      <c r="K764">
        <v>0</v>
      </c>
      <c r="L764">
        <v>2024</v>
      </c>
    </row>
    <row r="765" spans="1:12" x14ac:dyDescent="0.25">
      <c r="A765" s="1" t="s">
        <v>799</v>
      </c>
      <c r="B765" s="1" t="s">
        <v>18</v>
      </c>
      <c r="C765">
        <v>99</v>
      </c>
      <c r="D765" s="1" t="s">
        <v>741</v>
      </c>
      <c r="E765">
        <v>92703.58</v>
      </c>
      <c r="F765">
        <v>97528.61</v>
      </c>
      <c r="G765">
        <v>40</v>
      </c>
      <c r="H765">
        <v>38</v>
      </c>
      <c r="I765">
        <v>12628.28</v>
      </c>
      <c r="J765">
        <v>3898.79</v>
      </c>
      <c r="K765">
        <v>1</v>
      </c>
      <c r="L765">
        <v>2024</v>
      </c>
    </row>
    <row r="766" spans="1:12" x14ac:dyDescent="0.25">
      <c r="A766" s="1" t="s">
        <v>800</v>
      </c>
      <c r="B766" s="1" t="s">
        <v>15</v>
      </c>
      <c r="C766">
        <v>119</v>
      </c>
      <c r="D766" s="1" t="s">
        <v>741</v>
      </c>
      <c r="E766">
        <v>101622.18</v>
      </c>
      <c r="F766">
        <v>78267.509999999995</v>
      </c>
      <c r="G766">
        <v>72</v>
      </c>
      <c r="H766">
        <v>45</v>
      </c>
      <c r="I766">
        <v>9936.17</v>
      </c>
      <c r="J766">
        <v>0</v>
      </c>
      <c r="K766">
        <v>1</v>
      </c>
      <c r="L766">
        <v>2024</v>
      </c>
    </row>
    <row r="767" spans="1:12" x14ac:dyDescent="0.25">
      <c r="A767" s="1" t="s">
        <v>801</v>
      </c>
      <c r="B767" s="1" t="s">
        <v>14</v>
      </c>
      <c r="C767">
        <v>28</v>
      </c>
      <c r="D767" s="1" t="s">
        <v>741</v>
      </c>
      <c r="E767">
        <v>38633.86</v>
      </c>
      <c r="F767">
        <v>29230.13</v>
      </c>
      <c r="G767">
        <v>43</v>
      </c>
      <c r="H767">
        <v>15</v>
      </c>
      <c r="I767">
        <v>0</v>
      </c>
      <c r="J767">
        <v>1745.21</v>
      </c>
      <c r="K767">
        <v>0</v>
      </c>
      <c r="L767">
        <v>2024</v>
      </c>
    </row>
    <row r="768" spans="1:12" x14ac:dyDescent="0.25">
      <c r="A768" s="1" t="s">
        <v>802</v>
      </c>
      <c r="B768" s="1" t="s">
        <v>17</v>
      </c>
      <c r="C768">
        <v>3</v>
      </c>
      <c r="D768" s="1" t="s">
        <v>741</v>
      </c>
      <c r="E768">
        <v>7593.63</v>
      </c>
      <c r="F768">
        <v>6814.58</v>
      </c>
      <c r="G768">
        <v>36</v>
      </c>
      <c r="H768">
        <v>16</v>
      </c>
      <c r="I768">
        <v>15334.19</v>
      </c>
      <c r="J768">
        <v>556.04</v>
      </c>
      <c r="K768">
        <v>0</v>
      </c>
      <c r="L768">
        <v>2024</v>
      </c>
    </row>
    <row r="769" spans="1:12" x14ac:dyDescent="0.25">
      <c r="A769" s="1" t="s">
        <v>803</v>
      </c>
      <c r="B769" s="1" t="s">
        <v>18</v>
      </c>
      <c r="C769">
        <v>49</v>
      </c>
      <c r="D769" s="1" t="s">
        <v>741</v>
      </c>
      <c r="E769">
        <v>48179.06</v>
      </c>
      <c r="F769">
        <v>33310.35</v>
      </c>
      <c r="G769">
        <v>54</v>
      </c>
      <c r="H769">
        <v>22</v>
      </c>
      <c r="I769">
        <v>46044.88</v>
      </c>
      <c r="J769">
        <v>0</v>
      </c>
      <c r="K769">
        <v>1</v>
      </c>
      <c r="L769">
        <v>2024</v>
      </c>
    </row>
    <row r="770" spans="1:12" x14ac:dyDescent="0.25">
      <c r="A770" s="1" t="s">
        <v>804</v>
      </c>
      <c r="B770" s="1" t="s">
        <v>15</v>
      </c>
      <c r="C770">
        <v>37</v>
      </c>
      <c r="D770" s="1" t="s">
        <v>741</v>
      </c>
      <c r="E770">
        <v>27734.29</v>
      </c>
      <c r="F770">
        <v>28997.59</v>
      </c>
      <c r="G770">
        <v>37</v>
      </c>
      <c r="H770">
        <v>40</v>
      </c>
      <c r="I770">
        <v>81379.289999999994</v>
      </c>
      <c r="J770">
        <v>6533.57</v>
      </c>
      <c r="K770">
        <v>0</v>
      </c>
      <c r="L770">
        <v>2024</v>
      </c>
    </row>
    <row r="771" spans="1:12" x14ac:dyDescent="0.25">
      <c r="A771" s="1" t="s">
        <v>805</v>
      </c>
      <c r="B771" s="1" t="s">
        <v>14</v>
      </c>
      <c r="C771">
        <v>111</v>
      </c>
      <c r="D771" s="1" t="s">
        <v>741</v>
      </c>
      <c r="E771">
        <v>83561.45</v>
      </c>
      <c r="F771">
        <v>88269.24</v>
      </c>
      <c r="G771">
        <v>19</v>
      </c>
      <c r="H771">
        <v>41</v>
      </c>
      <c r="I771">
        <v>46989.1</v>
      </c>
      <c r="J771">
        <v>5213.8599999999997</v>
      </c>
      <c r="K771">
        <v>0</v>
      </c>
      <c r="L771">
        <v>2024</v>
      </c>
    </row>
    <row r="772" spans="1:12" x14ac:dyDescent="0.25">
      <c r="A772" s="1" t="s">
        <v>806</v>
      </c>
      <c r="B772" s="1" t="s">
        <v>14</v>
      </c>
      <c r="C772">
        <v>45</v>
      </c>
      <c r="D772" s="1" t="s">
        <v>741</v>
      </c>
      <c r="E772">
        <v>44100.480000000003</v>
      </c>
      <c r="F772">
        <v>28977.9</v>
      </c>
      <c r="G772">
        <v>24</v>
      </c>
      <c r="H772">
        <v>3</v>
      </c>
      <c r="I772">
        <v>17168.98</v>
      </c>
      <c r="J772">
        <v>6975.09</v>
      </c>
      <c r="K772">
        <v>0</v>
      </c>
      <c r="L772">
        <v>2024</v>
      </c>
    </row>
    <row r="773" spans="1:12" x14ac:dyDescent="0.25">
      <c r="A773" s="1" t="s">
        <v>807</v>
      </c>
      <c r="B773" s="1" t="s">
        <v>12</v>
      </c>
      <c r="C773">
        <v>69</v>
      </c>
      <c r="D773" s="1" t="s">
        <v>741</v>
      </c>
      <c r="E773">
        <v>53009.279999999999</v>
      </c>
      <c r="F773">
        <v>52293.23</v>
      </c>
      <c r="G773">
        <v>30</v>
      </c>
      <c r="H773">
        <v>28</v>
      </c>
      <c r="I773">
        <v>61171.49</v>
      </c>
      <c r="J773">
        <v>2395.62</v>
      </c>
      <c r="K773">
        <v>0</v>
      </c>
      <c r="L773">
        <v>2024</v>
      </c>
    </row>
    <row r="774" spans="1:12" x14ac:dyDescent="0.25">
      <c r="A774" s="1" t="s">
        <v>808</v>
      </c>
      <c r="B774" s="1" t="s">
        <v>18</v>
      </c>
      <c r="C774">
        <v>108</v>
      </c>
      <c r="D774" s="1" t="s">
        <v>741</v>
      </c>
      <c r="E774">
        <v>85732.25</v>
      </c>
      <c r="F774">
        <v>51623.12</v>
      </c>
      <c r="G774">
        <v>14</v>
      </c>
      <c r="H774">
        <v>25</v>
      </c>
      <c r="I774">
        <v>39156.080000000002</v>
      </c>
      <c r="J774">
        <v>3981.99</v>
      </c>
      <c r="K774">
        <v>0</v>
      </c>
      <c r="L774">
        <v>2024</v>
      </c>
    </row>
    <row r="775" spans="1:12" x14ac:dyDescent="0.25">
      <c r="A775" s="1" t="s">
        <v>809</v>
      </c>
      <c r="B775" s="1" t="s">
        <v>16</v>
      </c>
      <c r="C775">
        <v>4</v>
      </c>
      <c r="D775" s="1" t="s">
        <v>741</v>
      </c>
      <c r="E775">
        <v>7247.79</v>
      </c>
      <c r="F775">
        <v>6565.86</v>
      </c>
      <c r="G775">
        <v>10</v>
      </c>
      <c r="H775">
        <v>0</v>
      </c>
      <c r="I775">
        <v>16057.58</v>
      </c>
      <c r="J775">
        <v>7161.34</v>
      </c>
      <c r="K775">
        <v>1</v>
      </c>
      <c r="L775">
        <v>2024</v>
      </c>
    </row>
    <row r="776" spans="1:12" x14ac:dyDescent="0.25">
      <c r="A776" s="1" t="s">
        <v>810</v>
      </c>
      <c r="B776" s="1" t="s">
        <v>18</v>
      </c>
      <c r="C776">
        <v>16</v>
      </c>
      <c r="D776" s="1" t="s">
        <v>741</v>
      </c>
      <c r="E776">
        <v>25527.87</v>
      </c>
      <c r="F776">
        <v>21629.17</v>
      </c>
      <c r="G776">
        <v>19</v>
      </c>
      <c r="H776">
        <v>16</v>
      </c>
      <c r="I776">
        <v>37888</v>
      </c>
      <c r="J776">
        <v>6613.23</v>
      </c>
      <c r="K776">
        <v>0</v>
      </c>
      <c r="L776">
        <v>2024</v>
      </c>
    </row>
    <row r="777" spans="1:12" x14ac:dyDescent="0.25">
      <c r="A777" s="1" t="s">
        <v>811</v>
      </c>
      <c r="B777" s="1" t="s">
        <v>14</v>
      </c>
      <c r="C777">
        <v>27</v>
      </c>
      <c r="D777" s="1" t="s">
        <v>741</v>
      </c>
      <c r="E777">
        <v>21479.02</v>
      </c>
      <c r="F777">
        <v>20315.54</v>
      </c>
      <c r="G777">
        <v>43</v>
      </c>
      <c r="H777">
        <v>48</v>
      </c>
      <c r="I777">
        <v>37944.5</v>
      </c>
      <c r="J777">
        <v>183.14</v>
      </c>
      <c r="K777">
        <v>0</v>
      </c>
      <c r="L777">
        <v>2024</v>
      </c>
    </row>
    <row r="778" spans="1:12" x14ac:dyDescent="0.25">
      <c r="A778" s="1" t="s">
        <v>812</v>
      </c>
      <c r="B778" s="1" t="s">
        <v>16</v>
      </c>
      <c r="C778">
        <v>68</v>
      </c>
      <c r="D778" s="1" t="s">
        <v>741</v>
      </c>
      <c r="E778">
        <v>44646.79</v>
      </c>
      <c r="F778">
        <v>30915.09</v>
      </c>
      <c r="G778">
        <v>35</v>
      </c>
      <c r="H778">
        <v>20</v>
      </c>
      <c r="I778">
        <v>19549.310000000001</v>
      </c>
      <c r="J778">
        <v>3016.44</v>
      </c>
      <c r="K778">
        <v>0</v>
      </c>
      <c r="L778">
        <v>2024</v>
      </c>
    </row>
    <row r="779" spans="1:12" x14ac:dyDescent="0.25">
      <c r="A779" s="1" t="s">
        <v>813</v>
      </c>
      <c r="B779" s="1" t="s">
        <v>17</v>
      </c>
      <c r="C779">
        <v>43</v>
      </c>
      <c r="D779" s="1" t="s">
        <v>741</v>
      </c>
      <c r="E779">
        <v>48422.71</v>
      </c>
      <c r="F779">
        <v>36582.94</v>
      </c>
      <c r="G779">
        <v>36</v>
      </c>
      <c r="H779">
        <v>2</v>
      </c>
      <c r="I779">
        <v>29420.51</v>
      </c>
      <c r="J779">
        <v>0</v>
      </c>
      <c r="K779">
        <v>0</v>
      </c>
      <c r="L779">
        <v>2024</v>
      </c>
    </row>
    <row r="780" spans="1:12" x14ac:dyDescent="0.25">
      <c r="A780" s="1" t="s">
        <v>814</v>
      </c>
      <c r="B780" s="1" t="s">
        <v>18</v>
      </c>
      <c r="C780">
        <v>69</v>
      </c>
      <c r="D780" s="1" t="s">
        <v>741</v>
      </c>
      <c r="E780">
        <v>51169.61</v>
      </c>
      <c r="F780">
        <v>37131.47</v>
      </c>
      <c r="G780">
        <v>66</v>
      </c>
      <c r="H780">
        <v>0</v>
      </c>
      <c r="I780">
        <v>56376.84</v>
      </c>
      <c r="J780">
        <v>3173.46</v>
      </c>
      <c r="K780">
        <v>0</v>
      </c>
      <c r="L780">
        <v>2024</v>
      </c>
    </row>
    <row r="781" spans="1:12" x14ac:dyDescent="0.25">
      <c r="A781" s="1" t="s">
        <v>815</v>
      </c>
      <c r="B781" s="1" t="s">
        <v>18</v>
      </c>
      <c r="C781">
        <v>106</v>
      </c>
      <c r="D781" s="1" t="s">
        <v>741</v>
      </c>
      <c r="E781">
        <v>87925.99</v>
      </c>
      <c r="F781">
        <v>56723.360000000001</v>
      </c>
      <c r="G781">
        <v>56</v>
      </c>
      <c r="H781">
        <v>0</v>
      </c>
      <c r="I781">
        <v>25893.18</v>
      </c>
      <c r="J781">
        <v>4598.5200000000004</v>
      </c>
      <c r="K781">
        <v>0</v>
      </c>
      <c r="L781">
        <v>2024</v>
      </c>
    </row>
    <row r="782" spans="1:12" x14ac:dyDescent="0.25">
      <c r="A782" s="1" t="s">
        <v>816</v>
      </c>
      <c r="B782" s="1" t="s">
        <v>12</v>
      </c>
      <c r="C782">
        <v>33</v>
      </c>
      <c r="D782" s="1" t="s">
        <v>741</v>
      </c>
      <c r="E782">
        <v>26777.31</v>
      </c>
      <c r="F782">
        <v>21990.53</v>
      </c>
      <c r="G782">
        <v>75</v>
      </c>
      <c r="H782">
        <v>17</v>
      </c>
      <c r="I782">
        <v>0</v>
      </c>
      <c r="J782">
        <v>1460.19</v>
      </c>
      <c r="K782">
        <v>0</v>
      </c>
      <c r="L782">
        <v>2024</v>
      </c>
    </row>
    <row r="783" spans="1:12" x14ac:dyDescent="0.25">
      <c r="A783" s="1" t="s">
        <v>817</v>
      </c>
      <c r="B783" s="1" t="s">
        <v>14</v>
      </c>
      <c r="C783">
        <v>79</v>
      </c>
      <c r="D783" s="1" t="s">
        <v>741</v>
      </c>
      <c r="E783">
        <v>65654.460000000006</v>
      </c>
      <c r="F783">
        <v>42302.09</v>
      </c>
      <c r="G783">
        <v>64</v>
      </c>
      <c r="H783">
        <v>57</v>
      </c>
      <c r="I783">
        <v>17049.310000000001</v>
      </c>
      <c r="J783">
        <v>4030.1</v>
      </c>
      <c r="K783">
        <v>0</v>
      </c>
      <c r="L783">
        <v>2024</v>
      </c>
    </row>
    <row r="784" spans="1:12" x14ac:dyDescent="0.25">
      <c r="A784" s="1" t="s">
        <v>818</v>
      </c>
      <c r="B784" s="1" t="s">
        <v>15</v>
      </c>
      <c r="C784">
        <v>64</v>
      </c>
      <c r="D784" s="1" t="s">
        <v>741</v>
      </c>
      <c r="E784">
        <v>63914.58</v>
      </c>
      <c r="F784">
        <v>59821.61</v>
      </c>
      <c r="G784">
        <v>37</v>
      </c>
      <c r="H784">
        <v>32</v>
      </c>
      <c r="I784">
        <v>0</v>
      </c>
      <c r="J784">
        <v>4558.2700000000004</v>
      </c>
      <c r="K784">
        <v>0</v>
      </c>
      <c r="L784">
        <v>2024</v>
      </c>
    </row>
    <row r="785" spans="1:12" x14ac:dyDescent="0.25">
      <c r="A785" s="1" t="s">
        <v>819</v>
      </c>
      <c r="B785" s="1" t="s">
        <v>18</v>
      </c>
      <c r="C785">
        <v>101</v>
      </c>
      <c r="D785" s="1" t="s">
        <v>741</v>
      </c>
      <c r="E785">
        <v>75043.27</v>
      </c>
      <c r="F785">
        <v>78962.17</v>
      </c>
      <c r="G785">
        <v>66</v>
      </c>
      <c r="H785">
        <v>17</v>
      </c>
      <c r="I785">
        <v>14043.36</v>
      </c>
      <c r="J785">
        <v>6591.1</v>
      </c>
      <c r="K785">
        <v>1</v>
      </c>
      <c r="L785">
        <v>2024</v>
      </c>
    </row>
    <row r="786" spans="1:12" x14ac:dyDescent="0.25">
      <c r="A786" s="1" t="s">
        <v>820</v>
      </c>
      <c r="B786" s="1" t="s">
        <v>14</v>
      </c>
      <c r="C786">
        <v>65</v>
      </c>
      <c r="D786" s="1" t="s">
        <v>741</v>
      </c>
      <c r="E786">
        <v>51053.14</v>
      </c>
      <c r="F786">
        <v>48238.99</v>
      </c>
      <c r="G786">
        <v>34</v>
      </c>
      <c r="H786">
        <v>0</v>
      </c>
      <c r="I786">
        <v>37643.79</v>
      </c>
      <c r="J786">
        <v>8929.2000000000007</v>
      </c>
      <c r="K786">
        <v>0</v>
      </c>
      <c r="L786">
        <v>2024</v>
      </c>
    </row>
    <row r="787" spans="1:12" x14ac:dyDescent="0.25">
      <c r="A787" s="1" t="s">
        <v>821</v>
      </c>
      <c r="B787" s="1" t="s">
        <v>16</v>
      </c>
      <c r="C787">
        <v>12</v>
      </c>
      <c r="D787" s="1" t="s">
        <v>741</v>
      </c>
      <c r="E787">
        <v>6617.88</v>
      </c>
      <c r="F787">
        <v>4947.5600000000004</v>
      </c>
      <c r="G787">
        <v>90</v>
      </c>
      <c r="H787">
        <v>19</v>
      </c>
      <c r="I787">
        <v>62938.64</v>
      </c>
      <c r="J787">
        <v>0</v>
      </c>
      <c r="K787">
        <v>0</v>
      </c>
      <c r="L787">
        <v>2024</v>
      </c>
    </row>
    <row r="788" spans="1:12" x14ac:dyDescent="0.25">
      <c r="A788" s="1" t="s">
        <v>822</v>
      </c>
      <c r="B788" s="1" t="s">
        <v>18</v>
      </c>
      <c r="C788">
        <v>119</v>
      </c>
      <c r="D788" s="1" t="s">
        <v>741</v>
      </c>
      <c r="E788">
        <v>106723.48</v>
      </c>
      <c r="F788">
        <v>99459.64</v>
      </c>
      <c r="G788">
        <v>19</v>
      </c>
      <c r="H788">
        <v>67</v>
      </c>
      <c r="I788">
        <v>46535.33</v>
      </c>
      <c r="J788">
        <v>8395.5</v>
      </c>
      <c r="K788">
        <v>0</v>
      </c>
      <c r="L788">
        <v>2024</v>
      </c>
    </row>
    <row r="789" spans="1:12" x14ac:dyDescent="0.25">
      <c r="A789" s="1" t="s">
        <v>823</v>
      </c>
      <c r="B789" s="1" t="s">
        <v>12</v>
      </c>
      <c r="C789">
        <v>14</v>
      </c>
      <c r="D789" s="1" t="s">
        <v>741</v>
      </c>
      <c r="E789">
        <v>36539.81</v>
      </c>
      <c r="F789">
        <v>27427.25</v>
      </c>
      <c r="G789">
        <v>46</v>
      </c>
      <c r="H789">
        <v>45</v>
      </c>
      <c r="I789">
        <v>48153.79</v>
      </c>
      <c r="J789">
        <v>6145.4</v>
      </c>
      <c r="K789">
        <v>1</v>
      </c>
      <c r="L789">
        <v>2024</v>
      </c>
    </row>
    <row r="790" spans="1:12" x14ac:dyDescent="0.25">
      <c r="A790" s="1" t="s">
        <v>824</v>
      </c>
      <c r="B790" s="1" t="s">
        <v>12</v>
      </c>
      <c r="C790">
        <v>62</v>
      </c>
      <c r="D790" s="1" t="s">
        <v>741</v>
      </c>
      <c r="E790">
        <v>64782.7</v>
      </c>
      <c r="F790">
        <v>37675.160000000003</v>
      </c>
      <c r="G790">
        <v>10</v>
      </c>
      <c r="H790">
        <v>25</v>
      </c>
      <c r="I790">
        <v>67246.899999999994</v>
      </c>
      <c r="J790">
        <v>6508.43</v>
      </c>
      <c r="K790">
        <v>0</v>
      </c>
      <c r="L790">
        <v>2024</v>
      </c>
    </row>
    <row r="791" spans="1:12" x14ac:dyDescent="0.25">
      <c r="A791" s="1" t="s">
        <v>825</v>
      </c>
      <c r="B791" s="1" t="s">
        <v>18</v>
      </c>
      <c r="C791">
        <v>48</v>
      </c>
      <c r="D791" s="1" t="s">
        <v>741</v>
      </c>
      <c r="E791">
        <v>41441.410000000003</v>
      </c>
      <c r="F791">
        <v>43906.36</v>
      </c>
      <c r="G791">
        <v>55</v>
      </c>
      <c r="H791">
        <v>9</v>
      </c>
      <c r="I791">
        <v>21805.43</v>
      </c>
      <c r="J791">
        <v>2921.97</v>
      </c>
      <c r="K791">
        <v>0</v>
      </c>
      <c r="L791">
        <v>2024</v>
      </c>
    </row>
    <row r="792" spans="1:12" x14ac:dyDescent="0.25">
      <c r="A792" s="1" t="s">
        <v>826</v>
      </c>
      <c r="B792" s="1" t="s">
        <v>14</v>
      </c>
      <c r="C792">
        <v>68</v>
      </c>
      <c r="D792" s="1" t="s">
        <v>741</v>
      </c>
      <c r="E792">
        <v>65398.89</v>
      </c>
      <c r="F792">
        <v>57847.98</v>
      </c>
      <c r="G792">
        <v>10</v>
      </c>
      <c r="H792">
        <v>1</v>
      </c>
      <c r="I792">
        <v>46318.9</v>
      </c>
      <c r="J792">
        <v>3393.12</v>
      </c>
      <c r="K792">
        <v>0</v>
      </c>
      <c r="L792">
        <v>2024</v>
      </c>
    </row>
    <row r="793" spans="1:12" x14ac:dyDescent="0.25">
      <c r="A793" s="1" t="s">
        <v>827</v>
      </c>
      <c r="B793" s="1" t="s">
        <v>17</v>
      </c>
      <c r="C793">
        <v>83</v>
      </c>
      <c r="D793" s="1" t="s">
        <v>741</v>
      </c>
      <c r="E793">
        <v>77376.259999999995</v>
      </c>
      <c r="F793">
        <v>56389.88</v>
      </c>
      <c r="G793">
        <v>21</v>
      </c>
      <c r="H793">
        <v>30</v>
      </c>
      <c r="I793">
        <v>27164.91</v>
      </c>
      <c r="J793">
        <v>3671.64</v>
      </c>
      <c r="K793">
        <v>0</v>
      </c>
      <c r="L793">
        <v>2024</v>
      </c>
    </row>
    <row r="794" spans="1:12" x14ac:dyDescent="0.25">
      <c r="A794" s="1" t="s">
        <v>828</v>
      </c>
      <c r="B794" s="1" t="s">
        <v>14</v>
      </c>
      <c r="C794">
        <v>84</v>
      </c>
      <c r="D794" s="1" t="s">
        <v>741</v>
      </c>
      <c r="E794">
        <v>63601.78</v>
      </c>
      <c r="F794">
        <v>43505.34</v>
      </c>
      <c r="G794">
        <v>56</v>
      </c>
      <c r="H794">
        <v>14</v>
      </c>
      <c r="I794">
        <v>44432.51</v>
      </c>
      <c r="J794">
        <v>3933.76</v>
      </c>
      <c r="K794">
        <v>0</v>
      </c>
      <c r="L794">
        <v>2024</v>
      </c>
    </row>
    <row r="795" spans="1:12" x14ac:dyDescent="0.25">
      <c r="A795" s="1" t="s">
        <v>829</v>
      </c>
      <c r="B795" s="1" t="s">
        <v>15</v>
      </c>
      <c r="C795">
        <v>102</v>
      </c>
      <c r="D795" s="1" t="s">
        <v>741</v>
      </c>
      <c r="E795">
        <v>83425</v>
      </c>
      <c r="F795">
        <v>89730.64</v>
      </c>
      <c r="G795">
        <v>39</v>
      </c>
      <c r="H795">
        <v>16</v>
      </c>
      <c r="I795">
        <v>0</v>
      </c>
      <c r="J795">
        <v>0</v>
      </c>
      <c r="K795">
        <v>0</v>
      </c>
      <c r="L795">
        <v>2024</v>
      </c>
    </row>
    <row r="796" spans="1:12" x14ac:dyDescent="0.25">
      <c r="A796" s="1" t="s">
        <v>830</v>
      </c>
      <c r="B796" s="1" t="s">
        <v>15</v>
      </c>
      <c r="C796">
        <v>29</v>
      </c>
      <c r="D796" s="1" t="s">
        <v>741</v>
      </c>
      <c r="E796">
        <v>30064.31</v>
      </c>
      <c r="F796">
        <v>26605.43</v>
      </c>
      <c r="G796">
        <v>70</v>
      </c>
      <c r="H796">
        <v>66</v>
      </c>
      <c r="I796">
        <v>33405.730000000003</v>
      </c>
      <c r="J796">
        <v>681.03</v>
      </c>
      <c r="K796">
        <v>0</v>
      </c>
      <c r="L796">
        <v>2024</v>
      </c>
    </row>
    <row r="797" spans="1:12" x14ac:dyDescent="0.25">
      <c r="A797" s="1" t="s">
        <v>831</v>
      </c>
      <c r="B797" s="1" t="s">
        <v>17</v>
      </c>
      <c r="C797">
        <v>103</v>
      </c>
      <c r="D797" s="1" t="s">
        <v>741</v>
      </c>
      <c r="E797">
        <v>84384.06</v>
      </c>
      <c r="F797">
        <v>74550.100000000006</v>
      </c>
      <c r="G797">
        <v>18</v>
      </c>
      <c r="H797">
        <v>9</v>
      </c>
      <c r="I797">
        <v>48562.42</v>
      </c>
      <c r="J797">
        <v>0</v>
      </c>
      <c r="K797">
        <v>0</v>
      </c>
      <c r="L797">
        <v>2024</v>
      </c>
    </row>
    <row r="798" spans="1:12" x14ac:dyDescent="0.25">
      <c r="A798" s="1" t="s">
        <v>832</v>
      </c>
      <c r="B798" s="1" t="s">
        <v>18</v>
      </c>
      <c r="C798">
        <v>15</v>
      </c>
      <c r="D798" s="1" t="s">
        <v>833</v>
      </c>
      <c r="E798">
        <v>15141.25</v>
      </c>
      <c r="F798">
        <v>9210.82</v>
      </c>
      <c r="G798">
        <v>12</v>
      </c>
      <c r="H798">
        <v>29</v>
      </c>
      <c r="I798">
        <v>64656.06</v>
      </c>
      <c r="J798">
        <v>1847.05</v>
      </c>
      <c r="K798">
        <v>0</v>
      </c>
      <c r="L798">
        <v>2024</v>
      </c>
    </row>
    <row r="799" spans="1:12" x14ac:dyDescent="0.25">
      <c r="A799" s="1" t="s">
        <v>834</v>
      </c>
      <c r="B799" s="1" t="s">
        <v>12</v>
      </c>
      <c r="C799">
        <v>35</v>
      </c>
      <c r="D799" s="1" t="s">
        <v>833</v>
      </c>
      <c r="E799">
        <v>34040.6</v>
      </c>
      <c r="F799">
        <v>34551.449999999997</v>
      </c>
      <c r="G799">
        <v>38</v>
      </c>
      <c r="H799">
        <v>13</v>
      </c>
      <c r="I799">
        <v>19051.82</v>
      </c>
      <c r="J799">
        <v>4776.22</v>
      </c>
      <c r="K799">
        <v>0</v>
      </c>
      <c r="L799">
        <v>2024</v>
      </c>
    </row>
    <row r="800" spans="1:12" x14ac:dyDescent="0.25">
      <c r="A800" s="1" t="s">
        <v>835</v>
      </c>
      <c r="B800" s="1" t="s">
        <v>17</v>
      </c>
      <c r="C800">
        <v>25</v>
      </c>
      <c r="D800" s="1" t="s">
        <v>833</v>
      </c>
      <c r="E800">
        <v>33376.51</v>
      </c>
      <c r="F800">
        <v>27891.51</v>
      </c>
      <c r="G800">
        <v>44</v>
      </c>
      <c r="H800">
        <v>35</v>
      </c>
      <c r="I800">
        <v>15626.28</v>
      </c>
      <c r="J800">
        <v>0</v>
      </c>
      <c r="K800">
        <v>0</v>
      </c>
      <c r="L800">
        <v>2024</v>
      </c>
    </row>
    <row r="801" spans="1:12" x14ac:dyDescent="0.25">
      <c r="A801" s="1" t="s">
        <v>836</v>
      </c>
      <c r="B801" s="1" t="s">
        <v>12</v>
      </c>
      <c r="C801">
        <v>115</v>
      </c>
      <c r="D801" s="1" t="s">
        <v>833</v>
      </c>
      <c r="E801">
        <v>77674.77</v>
      </c>
      <c r="F801">
        <v>65629.55</v>
      </c>
      <c r="G801">
        <v>73</v>
      </c>
      <c r="H801">
        <v>40</v>
      </c>
      <c r="I801">
        <v>30669.84</v>
      </c>
      <c r="J801">
        <v>6567.56</v>
      </c>
      <c r="K801">
        <v>0</v>
      </c>
      <c r="L801">
        <v>2024</v>
      </c>
    </row>
    <row r="802" spans="1:12" x14ac:dyDescent="0.25">
      <c r="A802" s="1" t="s">
        <v>837</v>
      </c>
      <c r="B802" s="1" t="s">
        <v>12</v>
      </c>
      <c r="C802">
        <v>107</v>
      </c>
      <c r="D802" s="1" t="s">
        <v>833</v>
      </c>
      <c r="E802">
        <v>77985.62</v>
      </c>
      <c r="F802">
        <v>61636.19</v>
      </c>
      <c r="G802">
        <v>32</v>
      </c>
      <c r="H802">
        <v>28</v>
      </c>
      <c r="I802">
        <v>0</v>
      </c>
      <c r="J802">
        <v>0</v>
      </c>
      <c r="K802">
        <v>1</v>
      </c>
      <c r="L802">
        <v>2024</v>
      </c>
    </row>
    <row r="803" spans="1:12" x14ac:dyDescent="0.25">
      <c r="A803" s="1" t="s">
        <v>838</v>
      </c>
      <c r="B803" s="1" t="s">
        <v>18</v>
      </c>
      <c r="C803">
        <v>13</v>
      </c>
      <c r="D803" s="1" t="s">
        <v>833</v>
      </c>
      <c r="E803">
        <v>21837.16</v>
      </c>
      <c r="F803">
        <v>14497.39</v>
      </c>
      <c r="G803">
        <v>20</v>
      </c>
      <c r="H803">
        <v>19</v>
      </c>
      <c r="I803">
        <v>43138.71</v>
      </c>
      <c r="J803">
        <v>10605.98</v>
      </c>
      <c r="K803">
        <v>0</v>
      </c>
      <c r="L803">
        <v>2024</v>
      </c>
    </row>
    <row r="804" spans="1:12" x14ac:dyDescent="0.25">
      <c r="A804" s="1" t="s">
        <v>839</v>
      </c>
      <c r="B804" s="1" t="s">
        <v>12</v>
      </c>
      <c r="C804">
        <v>52</v>
      </c>
      <c r="D804" s="1" t="s">
        <v>833</v>
      </c>
      <c r="E804">
        <v>46304.29</v>
      </c>
      <c r="F804">
        <v>32407.1</v>
      </c>
      <c r="G804">
        <v>45</v>
      </c>
      <c r="H804">
        <v>0</v>
      </c>
      <c r="I804">
        <v>35179.339999999997</v>
      </c>
      <c r="J804">
        <v>7739.96</v>
      </c>
      <c r="K804">
        <v>0</v>
      </c>
      <c r="L804">
        <v>2024</v>
      </c>
    </row>
    <row r="805" spans="1:12" x14ac:dyDescent="0.25">
      <c r="A805" s="1" t="s">
        <v>840</v>
      </c>
      <c r="B805" s="1" t="s">
        <v>16</v>
      </c>
      <c r="C805">
        <v>9</v>
      </c>
      <c r="D805" s="1" t="s">
        <v>833</v>
      </c>
      <c r="E805">
        <v>9385.7000000000007</v>
      </c>
      <c r="F805">
        <v>6879.37</v>
      </c>
      <c r="G805">
        <v>21</v>
      </c>
      <c r="H805">
        <v>17</v>
      </c>
      <c r="I805">
        <v>5229.26</v>
      </c>
      <c r="J805">
        <v>2470.83</v>
      </c>
      <c r="K805">
        <v>0</v>
      </c>
      <c r="L805">
        <v>2024</v>
      </c>
    </row>
    <row r="806" spans="1:12" x14ac:dyDescent="0.25">
      <c r="A806" s="1" t="s">
        <v>841</v>
      </c>
      <c r="B806" s="1" t="s">
        <v>14</v>
      </c>
      <c r="C806">
        <v>12</v>
      </c>
      <c r="D806" s="1" t="s">
        <v>833</v>
      </c>
      <c r="E806">
        <v>21235.39</v>
      </c>
      <c r="F806">
        <v>16690.29</v>
      </c>
      <c r="G806">
        <v>32</v>
      </c>
      <c r="H806">
        <v>12</v>
      </c>
      <c r="I806">
        <v>41234.54</v>
      </c>
      <c r="J806">
        <v>2663.66</v>
      </c>
      <c r="K806">
        <v>0</v>
      </c>
      <c r="L806">
        <v>2024</v>
      </c>
    </row>
    <row r="807" spans="1:12" x14ac:dyDescent="0.25">
      <c r="A807" s="1" t="s">
        <v>842</v>
      </c>
      <c r="B807" s="1" t="s">
        <v>14</v>
      </c>
      <c r="C807">
        <v>71</v>
      </c>
      <c r="D807" s="1" t="s">
        <v>833</v>
      </c>
      <c r="E807">
        <v>64606.879999999997</v>
      </c>
      <c r="F807">
        <v>65494.69</v>
      </c>
      <c r="G807">
        <v>62</v>
      </c>
      <c r="H807">
        <v>11</v>
      </c>
      <c r="I807">
        <v>43384.800000000003</v>
      </c>
      <c r="J807">
        <v>2458.69</v>
      </c>
      <c r="K807">
        <v>1</v>
      </c>
      <c r="L807">
        <v>2024</v>
      </c>
    </row>
    <row r="808" spans="1:12" x14ac:dyDescent="0.25">
      <c r="A808" s="1" t="s">
        <v>843</v>
      </c>
      <c r="B808" s="1" t="s">
        <v>14</v>
      </c>
      <c r="C808">
        <v>46</v>
      </c>
      <c r="D808" s="1" t="s">
        <v>833</v>
      </c>
      <c r="E808">
        <v>55651.51</v>
      </c>
      <c r="F808">
        <v>58715.37</v>
      </c>
      <c r="G808">
        <v>18</v>
      </c>
      <c r="H808">
        <v>53</v>
      </c>
      <c r="I808">
        <v>46025.95</v>
      </c>
      <c r="J808">
        <v>4951.88</v>
      </c>
      <c r="K808">
        <v>0</v>
      </c>
      <c r="L808">
        <v>2024</v>
      </c>
    </row>
    <row r="809" spans="1:12" x14ac:dyDescent="0.25">
      <c r="A809" s="1" t="s">
        <v>844</v>
      </c>
      <c r="B809" s="1" t="s">
        <v>17</v>
      </c>
      <c r="C809">
        <v>77</v>
      </c>
      <c r="D809" s="1" t="s">
        <v>833</v>
      </c>
      <c r="E809">
        <v>72916.03</v>
      </c>
      <c r="F809">
        <v>47759.839999999997</v>
      </c>
      <c r="G809">
        <v>43</v>
      </c>
      <c r="H809">
        <v>0</v>
      </c>
      <c r="I809">
        <v>33109.300000000003</v>
      </c>
      <c r="J809">
        <v>6393.36</v>
      </c>
      <c r="K809">
        <v>0</v>
      </c>
      <c r="L809">
        <v>2024</v>
      </c>
    </row>
    <row r="810" spans="1:12" x14ac:dyDescent="0.25">
      <c r="A810" s="1" t="s">
        <v>845</v>
      </c>
      <c r="B810" s="1" t="s">
        <v>12</v>
      </c>
      <c r="C810">
        <v>84</v>
      </c>
      <c r="D810" s="1" t="s">
        <v>833</v>
      </c>
      <c r="E810">
        <v>71663.78</v>
      </c>
      <c r="F810">
        <v>41970.18</v>
      </c>
      <c r="G810">
        <v>55</v>
      </c>
      <c r="H810">
        <v>46</v>
      </c>
      <c r="I810">
        <v>12718.96</v>
      </c>
      <c r="J810">
        <v>790.68</v>
      </c>
      <c r="K810">
        <v>1</v>
      </c>
      <c r="L810">
        <v>2024</v>
      </c>
    </row>
    <row r="811" spans="1:12" x14ac:dyDescent="0.25">
      <c r="A811" s="1" t="s">
        <v>846</v>
      </c>
      <c r="B811" s="1" t="s">
        <v>14</v>
      </c>
      <c r="C811">
        <v>83</v>
      </c>
      <c r="D811" s="1" t="s">
        <v>833</v>
      </c>
      <c r="E811">
        <v>64834.5</v>
      </c>
      <c r="F811">
        <v>54368.800000000003</v>
      </c>
      <c r="G811">
        <v>35</v>
      </c>
      <c r="H811">
        <v>39</v>
      </c>
      <c r="I811">
        <v>28999.29</v>
      </c>
      <c r="J811">
        <v>1030.07</v>
      </c>
      <c r="K811">
        <v>0</v>
      </c>
      <c r="L811">
        <v>2024</v>
      </c>
    </row>
    <row r="812" spans="1:12" x14ac:dyDescent="0.25">
      <c r="A812" s="1" t="s">
        <v>847</v>
      </c>
      <c r="B812" s="1" t="s">
        <v>12</v>
      </c>
      <c r="C812">
        <v>36</v>
      </c>
      <c r="D812" s="1" t="s">
        <v>833</v>
      </c>
      <c r="E812">
        <v>42342.81</v>
      </c>
      <c r="F812">
        <v>33536.33</v>
      </c>
      <c r="G812">
        <v>28</v>
      </c>
      <c r="H812">
        <v>7</v>
      </c>
      <c r="I812">
        <v>66532.84</v>
      </c>
      <c r="J812">
        <v>8434.39</v>
      </c>
      <c r="K812">
        <v>0</v>
      </c>
      <c r="L812">
        <v>2024</v>
      </c>
    </row>
    <row r="813" spans="1:12" x14ac:dyDescent="0.25">
      <c r="A813" s="1" t="s">
        <v>848</v>
      </c>
      <c r="B813" s="1" t="s">
        <v>16</v>
      </c>
      <c r="C813">
        <v>89</v>
      </c>
      <c r="D813" s="1" t="s">
        <v>833</v>
      </c>
      <c r="E813">
        <v>74342.14</v>
      </c>
      <c r="F813">
        <v>58474.11</v>
      </c>
      <c r="G813">
        <v>44</v>
      </c>
      <c r="H813">
        <v>16</v>
      </c>
      <c r="I813">
        <v>61003.79</v>
      </c>
      <c r="J813">
        <v>3850.43</v>
      </c>
      <c r="K813">
        <v>0</v>
      </c>
      <c r="L813">
        <v>2024</v>
      </c>
    </row>
    <row r="814" spans="1:12" x14ac:dyDescent="0.25">
      <c r="A814" s="1" t="s">
        <v>849</v>
      </c>
      <c r="B814" s="1" t="s">
        <v>15</v>
      </c>
      <c r="C814">
        <v>104</v>
      </c>
      <c r="D814" s="1" t="s">
        <v>833</v>
      </c>
      <c r="E814">
        <v>81846.25</v>
      </c>
      <c r="F814">
        <v>65507.7</v>
      </c>
      <c r="G814">
        <v>34</v>
      </c>
      <c r="H814">
        <v>46</v>
      </c>
      <c r="I814">
        <v>54865.04</v>
      </c>
      <c r="J814">
        <v>1588.75</v>
      </c>
      <c r="K814">
        <v>0</v>
      </c>
      <c r="L814">
        <v>2024</v>
      </c>
    </row>
    <row r="815" spans="1:12" x14ac:dyDescent="0.25">
      <c r="A815" s="1" t="s">
        <v>850</v>
      </c>
      <c r="B815" s="1" t="s">
        <v>16</v>
      </c>
      <c r="C815">
        <v>8</v>
      </c>
      <c r="D815" s="1" t="s">
        <v>833</v>
      </c>
      <c r="E815">
        <v>5649.98</v>
      </c>
      <c r="F815">
        <v>4114.03</v>
      </c>
      <c r="G815">
        <v>20</v>
      </c>
      <c r="H815">
        <v>28</v>
      </c>
      <c r="I815">
        <v>24290.11</v>
      </c>
      <c r="J815">
        <v>5616.49</v>
      </c>
      <c r="K815">
        <v>1</v>
      </c>
      <c r="L815">
        <v>2024</v>
      </c>
    </row>
    <row r="816" spans="1:12" x14ac:dyDescent="0.25">
      <c r="A816" s="1" t="s">
        <v>851</v>
      </c>
      <c r="B816" s="1" t="s">
        <v>14</v>
      </c>
      <c r="C816">
        <v>63</v>
      </c>
      <c r="D816" s="1" t="s">
        <v>833</v>
      </c>
      <c r="E816">
        <v>63568.87</v>
      </c>
      <c r="F816">
        <v>38739.35</v>
      </c>
      <c r="G816">
        <v>48</v>
      </c>
      <c r="H816">
        <v>15</v>
      </c>
      <c r="I816">
        <v>9451.61</v>
      </c>
      <c r="J816">
        <v>9850.44</v>
      </c>
      <c r="K816">
        <v>0</v>
      </c>
      <c r="L816">
        <v>2024</v>
      </c>
    </row>
    <row r="817" spans="1:12" x14ac:dyDescent="0.25">
      <c r="A817" s="1" t="s">
        <v>852</v>
      </c>
      <c r="B817" s="1" t="s">
        <v>15</v>
      </c>
      <c r="C817">
        <v>72</v>
      </c>
      <c r="D817" s="1" t="s">
        <v>833</v>
      </c>
      <c r="E817">
        <v>70261.740000000005</v>
      </c>
      <c r="F817">
        <v>53840.61</v>
      </c>
      <c r="G817">
        <v>22</v>
      </c>
      <c r="H817">
        <v>41</v>
      </c>
      <c r="I817">
        <v>63943.33</v>
      </c>
      <c r="J817">
        <v>652.49</v>
      </c>
      <c r="K817">
        <v>0</v>
      </c>
      <c r="L817">
        <v>2024</v>
      </c>
    </row>
    <row r="818" spans="1:12" x14ac:dyDescent="0.25">
      <c r="A818" s="1" t="s">
        <v>853</v>
      </c>
      <c r="B818" s="1" t="s">
        <v>14</v>
      </c>
      <c r="C818">
        <v>118</v>
      </c>
      <c r="D818" s="1" t="s">
        <v>833</v>
      </c>
      <c r="E818">
        <v>86723.53</v>
      </c>
      <c r="F818">
        <v>78124.98</v>
      </c>
      <c r="G818">
        <v>41</v>
      </c>
      <c r="H818">
        <v>25</v>
      </c>
      <c r="I818">
        <v>47394.31</v>
      </c>
      <c r="J818">
        <v>8025.97</v>
      </c>
      <c r="K818">
        <v>0</v>
      </c>
      <c r="L818">
        <v>2024</v>
      </c>
    </row>
    <row r="819" spans="1:12" x14ac:dyDescent="0.25">
      <c r="A819" s="1" t="s">
        <v>854</v>
      </c>
      <c r="B819" s="1" t="s">
        <v>16</v>
      </c>
      <c r="C819">
        <v>33</v>
      </c>
      <c r="D819" s="1" t="s">
        <v>833</v>
      </c>
      <c r="E819">
        <v>32810.589999999997</v>
      </c>
      <c r="F819">
        <v>31854.43</v>
      </c>
      <c r="G819">
        <v>37</v>
      </c>
      <c r="H819">
        <v>16</v>
      </c>
      <c r="I819">
        <v>0</v>
      </c>
      <c r="J819">
        <v>976.63</v>
      </c>
      <c r="K819">
        <v>1</v>
      </c>
      <c r="L819">
        <v>2024</v>
      </c>
    </row>
    <row r="820" spans="1:12" x14ac:dyDescent="0.25">
      <c r="A820" s="1" t="s">
        <v>855</v>
      </c>
      <c r="B820" s="1" t="s">
        <v>17</v>
      </c>
      <c r="C820">
        <v>18</v>
      </c>
      <c r="D820" s="1" t="s">
        <v>833</v>
      </c>
      <c r="E820">
        <v>17676.73</v>
      </c>
      <c r="F820">
        <v>12156.88</v>
      </c>
      <c r="G820">
        <v>35</v>
      </c>
      <c r="H820">
        <v>12</v>
      </c>
      <c r="I820">
        <v>23281.63</v>
      </c>
      <c r="J820">
        <v>0</v>
      </c>
      <c r="K820">
        <v>1</v>
      </c>
      <c r="L820">
        <v>2024</v>
      </c>
    </row>
    <row r="821" spans="1:12" x14ac:dyDescent="0.25">
      <c r="A821" s="1" t="s">
        <v>856</v>
      </c>
      <c r="B821" s="1" t="s">
        <v>15</v>
      </c>
      <c r="C821">
        <v>76</v>
      </c>
      <c r="D821" s="1" t="s">
        <v>833</v>
      </c>
      <c r="E821">
        <v>50906.23</v>
      </c>
      <c r="F821">
        <v>30131.42</v>
      </c>
      <c r="G821">
        <v>35</v>
      </c>
      <c r="H821">
        <v>18</v>
      </c>
      <c r="I821">
        <v>29456.67</v>
      </c>
      <c r="J821">
        <v>5279.03</v>
      </c>
      <c r="K821">
        <v>1</v>
      </c>
      <c r="L821">
        <v>2024</v>
      </c>
    </row>
    <row r="822" spans="1:12" x14ac:dyDescent="0.25">
      <c r="A822" s="1" t="s">
        <v>857</v>
      </c>
      <c r="B822" s="1" t="s">
        <v>15</v>
      </c>
      <c r="C822">
        <v>111</v>
      </c>
      <c r="D822" s="1" t="s">
        <v>833</v>
      </c>
      <c r="E822">
        <v>89730.06</v>
      </c>
      <c r="F822">
        <v>55401.9</v>
      </c>
      <c r="G822">
        <v>10</v>
      </c>
      <c r="H822">
        <v>32</v>
      </c>
      <c r="I822">
        <v>0</v>
      </c>
      <c r="J822">
        <v>0</v>
      </c>
      <c r="K822">
        <v>0</v>
      </c>
      <c r="L822">
        <v>2024</v>
      </c>
    </row>
    <row r="823" spans="1:12" x14ac:dyDescent="0.25">
      <c r="A823" s="1" t="s">
        <v>858</v>
      </c>
      <c r="B823" s="1" t="s">
        <v>15</v>
      </c>
      <c r="C823">
        <v>33</v>
      </c>
      <c r="D823" s="1" t="s">
        <v>833</v>
      </c>
      <c r="E823">
        <v>34631.22</v>
      </c>
      <c r="F823">
        <v>22533.8</v>
      </c>
      <c r="G823">
        <v>38</v>
      </c>
      <c r="H823">
        <v>39</v>
      </c>
      <c r="I823">
        <v>8531.98</v>
      </c>
      <c r="J823">
        <v>6109.83</v>
      </c>
      <c r="K823">
        <v>0</v>
      </c>
      <c r="L823">
        <v>2024</v>
      </c>
    </row>
    <row r="824" spans="1:12" x14ac:dyDescent="0.25">
      <c r="A824" s="1" t="s">
        <v>859</v>
      </c>
      <c r="B824" s="1" t="s">
        <v>14</v>
      </c>
      <c r="C824">
        <v>52</v>
      </c>
      <c r="D824" s="1" t="s">
        <v>833</v>
      </c>
      <c r="E824">
        <v>41258.1</v>
      </c>
      <c r="F824">
        <v>38293.949999999997</v>
      </c>
      <c r="G824">
        <v>50</v>
      </c>
      <c r="H824">
        <v>13</v>
      </c>
      <c r="I824">
        <v>0</v>
      </c>
      <c r="J824">
        <v>2689.09</v>
      </c>
      <c r="K824">
        <v>1</v>
      </c>
      <c r="L824">
        <v>2024</v>
      </c>
    </row>
    <row r="825" spans="1:12" x14ac:dyDescent="0.25">
      <c r="A825" s="1" t="s">
        <v>860</v>
      </c>
      <c r="B825" s="1" t="s">
        <v>18</v>
      </c>
      <c r="C825">
        <v>113</v>
      </c>
      <c r="D825" s="1" t="s">
        <v>833</v>
      </c>
      <c r="E825">
        <v>99555.88</v>
      </c>
      <c r="F825">
        <v>77251.78</v>
      </c>
      <c r="G825">
        <v>53</v>
      </c>
      <c r="H825">
        <v>37</v>
      </c>
      <c r="I825">
        <v>27600.240000000002</v>
      </c>
      <c r="J825">
        <v>3216.84</v>
      </c>
      <c r="K825">
        <v>0</v>
      </c>
      <c r="L825">
        <v>2024</v>
      </c>
    </row>
    <row r="826" spans="1:12" x14ac:dyDescent="0.25">
      <c r="A826" s="1" t="s">
        <v>861</v>
      </c>
      <c r="B826" s="1" t="s">
        <v>17</v>
      </c>
      <c r="C826">
        <v>21</v>
      </c>
      <c r="D826" s="1" t="s">
        <v>833</v>
      </c>
      <c r="E826">
        <v>22988.400000000001</v>
      </c>
      <c r="F826">
        <v>21297.91</v>
      </c>
      <c r="G826">
        <v>52</v>
      </c>
      <c r="H826">
        <v>12</v>
      </c>
      <c r="I826">
        <v>46660.45</v>
      </c>
      <c r="J826">
        <v>0</v>
      </c>
      <c r="K826">
        <v>1</v>
      </c>
      <c r="L826">
        <v>2024</v>
      </c>
    </row>
    <row r="827" spans="1:12" x14ac:dyDescent="0.25">
      <c r="A827" s="1" t="s">
        <v>862</v>
      </c>
      <c r="B827" s="1" t="s">
        <v>17</v>
      </c>
      <c r="C827">
        <v>5</v>
      </c>
      <c r="D827" s="1" t="s">
        <v>833</v>
      </c>
      <c r="E827">
        <v>12519.8</v>
      </c>
      <c r="F827">
        <v>13046.22</v>
      </c>
      <c r="G827">
        <v>32</v>
      </c>
      <c r="H827">
        <v>60</v>
      </c>
      <c r="I827">
        <v>32073.86</v>
      </c>
      <c r="J827">
        <v>3412.21</v>
      </c>
      <c r="K827">
        <v>1</v>
      </c>
      <c r="L827">
        <v>2024</v>
      </c>
    </row>
    <row r="828" spans="1:12" x14ac:dyDescent="0.25">
      <c r="A828" s="1" t="s">
        <v>863</v>
      </c>
      <c r="B828" s="1" t="s">
        <v>17</v>
      </c>
      <c r="C828">
        <v>24</v>
      </c>
      <c r="D828" s="1" t="s">
        <v>833</v>
      </c>
      <c r="E828">
        <v>21256.53</v>
      </c>
      <c r="F828">
        <v>15775.49</v>
      </c>
      <c r="G828">
        <v>48</v>
      </c>
      <c r="H828">
        <v>21</v>
      </c>
      <c r="I828">
        <v>21791.77</v>
      </c>
      <c r="J828">
        <v>18378.830000000002</v>
      </c>
      <c r="K828">
        <v>0</v>
      </c>
      <c r="L828">
        <v>2024</v>
      </c>
    </row>
    <row r="829" spans="1:12" x14ac:dyDescent="0.25">
      <c r="A829" s="1" t="s">
        <v>864</v>
      </c>
      <c r="B829" s="1" t="s">
        <v>14</v>
      </c>
      <c r="C829">
        <v>30</v>
      </c>
      <c r="D829" s="1" t="s">
        <v>833</v>
      </c>
      <c r="E829">
        <v>25112.78</v>
      </c>
      <c r="F829">
        <v>19643.88</v>
      </c>
      <c r="G829">
        <v>38</v>
      </c>
      <c r="H829">
        <v>65</v>
      </c>
      <c r="I829">
        <v>46470.99</v>
      </c>
      <c r="J829">
        <v>0</v>
      </c>
      <c r="K829">
        <v>1</v>
      </c>
      <c r="L829">
        <v>2024</v>
      </c>
    </row>
    <row r="830" spans="1:12" x14ac:dyDescent="0.25">
      <c r="A830" s="1" t="s">
        <v>865</v>
      </c>
      <c r="B830" s="1" t="s">
        <v>15</v>
      </c>
      <c r="C830">
        <v>55</v>
      </c>
      <c r="D830" s="1" t="s">
        <v>833</v>
      </c>
      <c r="E830">
        <v>45925.57</v>
      </c>
      <c r="F830">
        <v>35086.1</v>
      </c>
      <c r="G830">
        <v>30</v>
      </c>
      <c r="H830">
        <v>30</v>
      </c>
      <c r="I830">
        <v>31971.83</v>
      </c>
      <c r="J830">
        <v>7545.42</v>
      </c>
      <c r="K830">
        <v>0</v>
      </c>
      <c r="L830">
        <v>2024</v>
      </c>
    </row>
    <row r="831" spans="1:12" x14ac:dyDescent="0.25">
      <c r="A831" s="1" t="s">
        <v>866</v>
      </c>
      <c r="B831" s="1" t="s">
        <v>17</v>
      </c>
      <c r="C831">
        <v>103</v>
      </c>
      <c r="D831" s="1" t="s">
        <v>833</v>
      </c>
      <c r="E831">
        <v>83749.289999999994</v>
      </c>
      <c r="F831">
        <v>51406.12</v>
      </c>
      <c r="G831">
        <v>62</v>
      </c>
      <c r="H831">
        <v>34</v>
      </c>
      <c r="I831">
        <v>39676.22</v>
      </c>
      <c r="J831">
        <v>2926.97</v>
      </c>
      <c r="K831">
        <v>1</v>
      </c>
      <c r="L831">
        <v>2024</v>
      </c>
    </row>
    <row r="832" spans="1:12" x14ac:dyDescent="0.25">
      <c r="A832" s="1" t="s">
        <v>867</v>
      </c>
      <c r="B832" s="1" t="s">
        <v>17</v>
      </c>
      <c r="C832">
        <v>52</v>
      </c>
      <c r="D832" s="1" t="s">
        <v>833</v>
      </c>
      <c r="E832">
        <v>42156.84</v>
      </c>
      <c r="F832">
        <v>41380.410000000003</v>
      </c>
      <c r="G832">
        <v>38</v>
      </c>
      <c r="H832">
        <v>21</v>
      </c>
      <c r="I832">
        <v>35925.230000000003</v>
      </c>
      <c r="J832">
        <v>6170.86</v>
      </c>
      <c r="K832">
        <v>0</v>
      </c>
      <c r="L832">
        <v>2024</v>
      </c>
    </row>
    <row r="833" spans="1:12" x14ac:dyDescent="0.25">
      <c r="A833" s="1" t="s">
        <v>868</v>
      </c>
      <c r="B833" s="1" t="s">
        <v>18</v>
      </c>
      <c r="C833">
        <v>71</v>
      </c>
      <c r="D833" s="1" t="s">
        <v>833</v>
      </c>
      <c r="E833">
        <v>46938.5</v>
      </c>
      <c r="F833">
        <v>42077.58</v>
      </c>
      <c r="G833">
        <v>34</v>
      </c>
      <c r="H833">
        <v>20</v>
      </c>
      <c r="I833">
        <v>54781.71</v>
      </c>
      <c r="J833">
        <v>6578.77</v>
      </c>
      <c r="K833">
        <v>1</v>
      </c>
      <c r="L833">
        <v>2024</v>
      </c>
    </row>
    <row r="834" spans="1:12" x14ac:dyDescent="0.25">
      <c r="A834" s="1" t="s">
        <v>869</v>
      </c>
      <c r="B834" s="1" t="s">
        <v>16</v>
      </c>
      <c r="C834">
        <v>118</v>
      </c>
      <c r="D834" s="1" t="s">
        <v>833</v>
      </c>
      <c r="E834">
        <v>95945.85</v>
      </c>
      <c r="F834">
        <v>79453.820000000007</v>
      </c>
      <c r="G834">
        <v>68</v>
      </c>
      <c r="H834">
        <v>30</v>
      </c>
      <c r="I834">
        <v>55282.05</v>
      </c>
      <c r="J834">
        <v>151.19999999999999</v>
      </c>
      <c r="K834">
        <v>0</v>
      </c>
      <c r="L834">
        <v>2024</v>
      </c>
    </row>
    <row r="835" spans="1:12" x14ac:dyDescent="0.25">
      <c r="A835" s="1" t="s">
        <v>870</v>
      </c>
      <c r="B835" s="1" t="s">
        <v>18</v>
      </c>
      <c r="C835">
        <v>14</v>
      </c>
      <c r="D835" s="1" t="s">
        <v>833</v>
      </c>
      <c r="E835">
        <v>4000</v>
      </c>
      <c r="F835">
        <v>3443.05</v>
      </c>
      <c r="G835">
        <v>44</v>
      </c>
      <c r="H835">
        <v>0</v>
      </c>
      <c r="I835">
        <v>80086.78</v>
      </c>
      <c r="J835">
        <v>5461.64</v>
      </c>
      <c r="K835">
        <v>0</v>
      </c>
      <c r="L835">
        <v>2024</v>
      </c>
    </row>
    <row r="836" spans="1:12" x14ac:dyDescent="0.25">
      <c r="A836" s="1" t="s">
        <v>871</v>
      </c>
      <c r="B836" s="1" t="s">
        <v>16</v>
      </c>
      <c r="C836">
        <v>111</v>
      </c>
      <c r="D836" s="1" t="s">
        <v>833</v>
      </c>
      <c r="E836">
        <v>90375.19</v>
      </c>
      <c r="F836">
        <v>60076.92</v>
      </c>
      <c r="G836">
        <v>48</v>
      </c>
      <c r="H836">
        <v>44</v>
      </c>
      <c r="I836">
        <v>38478.230000000003</v>
      </c>
      <c r="J836">
        <v>222.78</v>
      </c>
      <c r="K836">
        <v>0</v>
      </c>
      <c r="L836">
        <v>2024</v>
      </c>
    </row>
    <row r="837" spans="1:12" x14ac:dyDescent="0.25">
      <c r="A837" s="1" t="s">
        <v>872</v>
      </c>
      <c r="B837" s="1" t="s">
        <v>16</v>
      </c>
      <c r="C837">
        <v>67</v>
      </c>
      <c r="D837" s="1" t="s">
        <v>833</v>
      </c>
      <c r="E837">
        <v>66622.27</v>
      </c>
      <c r="F837">
        <v>68973.42</v>
      </c>
      <c r="G837">
        <v>21</v>
      </c>
      <c r="H837">
        <v>42</v>
      </c>
      <c r="I837">
        <v>68616.03</v>
      </c>
      <c r="J837">
        <v>6398.19</v>
      </c>
      <c r="K837">
        <v>0</v>
      </c>
      <c r="L837">
        <v>2024</v>
      </c>
    </row>
    <row r="838" spans="1:12" x14ac:dyDescent="0.25">
      <c r="A838" s="1" t="s">
        <v>873</v>
      </c>
      <c r="B838" s="1" t="s">
        <v>16</v>
      </c>
      <c r="C838">
        <v>100</v>
      </c>
      <c r="D838" s="1" t="s">
        <v>833</v>
      </c>
      <c r="E838">
        <v>86532.1</v>
      </c>
      <c r="F838">
        <v>54781.3</v>
      </c>
      <c r="G838">
        <v>67</v>
      </c>
      <c r="H838">
        <v>18</v>
      </c>
      <c r="I838">
        <v>33543.93</v>
      </c>
      <c r="J838">
        <v>8193.5</v>
      </c>
      <c r="K838">
        <v>0</v>
      </c>
      <c r="L838">
        <v>2024</v>
      </c>
    </row>
    <row r="839" spans="1:12" x14ac:dyDescent="0.25">
      <c r="A839" s="1" t="s">
        <v>874</v>
      </c>
      <c r="B839" s="1" t="s">
        <v>18</v>
      </c>
      <c r="C839">
        <v>95</v>
      </c>
      <c r="D839" s="1" t="s">
        <v>833</v>
      </c>
      <c r="E839">
        <v>93367.72</v>
      </c>
      <c r="F839">
        <v>95231.02</v>
      </c>
      <c r="G839">
        <v>25</v>
      </c>
      <c r="H839">
        <v>64</v>
      </c>
      <c r="I839">
        <v>28869.65</v>
      </c>
      <c r="J839">
        <v>8039.36</v>
      </c>
      <c r="K839">
        <v>0</v>
      </c>
      <c r="L839">
        <v>2024</v>
      </c>
    </row>
    <row r="840" spans="1:12" x14ac:dyDescent="0.25">
      <c r="A840" s="1" t="s">
        <v>875</v>
      </c>
      <c r="B840" s="1" t="s">
        <v>15</v>
      </c>
      <c r="C840">
        <v>69</v>
      </c>
      <c r="D840" s="1" t="s">
        <v>833</v>
      </c>
      <c r="E840">
        <v>64005.98</v>
      </c>
      <c r="F840">
        <v>58214.12</v>
      </c>
      <c r="G840">
        <v>62</v>
      </c>
      <c r="H840">
        <v>0</v>
      </c>
      <c r="I840">
        <v>18131.259999999998</v>
      </c>
      <c r="J840">
        <v>8232.43</v>
      </c>
      <c r="K840">
        <v>0</v>
      </c>
      <c r="L840">
        <v>2024</v>
      </c>
    </row>
    <row r="841" spans="1:12" x14ac:dyDescent="0.25">
      <c r="A841" s="1" t="s">
        <v>876</v>
      </c>
      <c r="B841" s="1" t="s">
        <v>17</v>
      </c>
      <c r="C841">
        <v>60</v>
      </c>
      <c r="D841" s="1" t="s">
        <v>833</v>
      </c>
      <c r="E841">
        <v>52858.97</v>
      </c>
      <c r="F841">
        <v>50916.9</v>
      </c>
      <c r="G841">
        <v>44</v>
      </c>
      <c r="H841">
        <v>2</v>
      </c>
      <c r="I841">
        <v>22391.19</v>
      </c>
      <c r="J841">
        <v>3783.86</v>
      </c>
      <c r="K841">
        <v>0</v>
      </c>
      <c r="L841">
        <v>2024</v>
      </c>
    </row>
    <row r="842" spans="1:12" x14ac:dyDescent="0.25">
      <c r="A842" s="1" t="s">
        <v>877</v>
      </c>
      <c r="B842" s="1" t="s">
        <v>12</v>
      </c>
      <c r="C842">
        <v>32</v>
      </c>
      <c r="D842" s="1" t="s">
        <v>833</v>
      </c>
      <c r="E842">
        <v>35079.56</v>
      </c>
      <c r="F842">
        <v>35096.57</v>
      </c>
      <c r="G842">
        <v>34</v>
      </c>
      <c r="H842">
        <v>28</v>
      </c>
      <c r="I842">
        <v>56734.8</v>
      </c>
      <c r="J842">
        <v>4245.97</v>
      </c>
      <c r="K842">
        <v>0</v>
      </c>
      <c r="L842">
        <v>2024</v>
      </c>
    </row>
    <row r="843" spans="1:12" x14ac:dyDescent="0.25">
      <c r="A843" s="1" t="s">
        <v>878</v>
      </c>
      <c r="B843" s="1" t="s">
        <v>17</v>
      </c>
      <c r="C843">
        <v>42</v>
      </c>
      <c r="D843" s="1" t="s">
        <v>833</v>
      </c>
      <c r="E843">
        <v>27355.73</v>
      </c>
      <c r="F843">
        <v>18420.62</v>
      </c>
      <c r="G843">
        <v>44</v>
      </c>
      <c r="H843">
        <v>0</v>
      </c>
      <c r="I843">
        <v>35122.29</v>
      </c>
      <c r="J843">
        <v>13547.98</v>
      </c>
      <c r="K843">
        <v>0</v>
      </c>
      <c r="L843">
        <v>2024</v>
      </c>
    </row>
    <row r="844" spans="1:12" x14ac:dyDescent="0.25">
      <c r="A844" s="1" t="s">
        <v>879</v>
      </c>
      <c r="B844" s="1" t="s">
        <v>14</v>
      </c>
      <c r="C844">
        <v>30</v>
      </c>
      <c r="D844" s="1" t="s">
        <v>833</v>
      </c>
      <c r="E844">
        <v>25608.65</v>
      </c>
      <c r="F844">
        <v>25339.9</v>
      </c>
      <c r="G844">
        <v>35</v>
      </c>
      <c r="H844">
        <v>28</v>
      </c>
      <c r="I844">
        <v>20809.830000000002</v>
      </c>
      <c r="J844">
        <v>4086.24</v>
      </c>
      <c r="K844">
        <v>0</v>
      </c>
      <c r="L844">
        <v>2024</v>
      </c>
    </row>
    <row r="845" spans="1:12" x14ac:dyDescent="0.25">
      <c r="A845" s="1" t="s">
        <v>880</v>
      </c>
      <c r="B845" s="1" t="s">
        <v>15</v>
      </c>
      <c r="C845">
        <v>24</v>
      </c>
      <c r="D845" s="1" t="s">
        <v>833</v>
      </c>
      <c r="E845">
        <v>17014.650000000001</v>
      </c>
      <c r="F845">
        <v>10172.34</v>
      </c>
      <c r="G845">
        <v>38</v>
      </c>
      <c r="H845">
        <v>34</v>
      </c>
      <c r="I845">
        <v>41231.86</v>
      </c>
      <c r="J845">
        <v>4359.22</v>
      </c>
      <c r="K845">
        <v>0</v>
      </c>
      <c r="L845">
        <v>2024</v>
      </c>
    </row>
    <row r="846" spans="1:12" x14ac:dyDescent="0.25">
      <c r="A846" s="1" t="s">
        <v>881</v>
      </c>
      <c r="B846" s="1" t="s">
        <v>16</v>
      </c>
      <c r="C846">
        <v>4</v>
      </c>
      <c r="D846" s="1" t="s">
        <v>833</v>
      </c>
      <c r="E846">
        <v>4851.87</v>
      </c>
      <c r="F846">
        <v>4184.9799999999996</v>
      </c>
      <c r="G846">
        <v>38</v>
      </c>
      <c r="H846">
        <v>33</v>
      </c>
      <c r="I846">
        <v>0</v>
      </c>
      <c r="J846">
        <v>3518.23</v>
      </c>
      <c r="K846">
        <v>0</v>
      </c>
      <c r="L846">
        <v>2024</v>
      </c>
    </row>
    <row r="847" spans="1:12" x14ac:dyDescent="0.25">
      <c r="A847" s="1" t="s">
        <v>882</v>
      </c>
      <c r="B847" s="1" t="s">
        <v>17</v>
      </c>
      <c r="C847">
        <v>109</v>
      </c>
      <c r="D847" s="1" t="s">
        <v>833</v>
      </c>
      <c r="E847">
        <v>84097.63</v>
      </c>
      <c r="F847">
        <v>72146.570000000007</v>
      </c>
      <c r="G847">
        <v>23</v>
      </c>
      <c r="H847">
        <v>29</v>
      </c>
      <c r="I847">
        <v>31880.2</v>
      </c>
      <c r="J847">
        <v>5097.7700000000004</v>
      </c>
      <c r="K847">
        <v>0</v>
      </c>
      <c r="L847">
        <v>2024</v>
      </c>
    </row>
    <row r="848" spans="1:12" x14ac:dyDescent="0.25">
      <c r="A848" s="1" t="s">
        <v>883</v>
      </c>
      <c r="B848" s="1" t="s">
        <v>15</v>
      </c>
      <c r="C848">
        <v>53</v>
      </c>
      <c r="D848" s="1" t="s">
        <v>833</v>
      </c>
      <c r="E848">
        <v>50454.05</v>
      </c>
      <c r="F848">
        <v>32536.76</v>
      </c>
      <c r="G848">
        <v>62</v>
      </c>
      <c r="H848">
        <v>1</v>
      </c>
      <c r="I848">
        <v>24248.19</v>
      </c>
      <c r="J848">
        <v>5377.17</v>
      </c>
      <c r="K848">
        <v>1</v>
      </c>
      <c r="L848">
        <v>2024</v>
      </c>
    </row>
    <row r="849" spans="1:12" x14ac:dyDescent="0.25">
      <c r="A849" s="1" t="s">
        <v>884</v>
      </c>
      <c r="B849" s="1" t="s">
        <v>12</v>
      </c>
      <c r="C849">
        <v>33</v>
      </c>
      <c r="D849" s="1" t="s">
        <v>833</v>
      </c>
      <c r="E849">
        <v>33708.57</v>
      </c>
      <c r="F849">
        <v>34967.040000000001</v>
      </c>
      <c r="G849">
        <v>28</v>
      </c>
      <c r="H849">
        <v>54</v>
      </c>
      <c r="I849">
        <v>62291.44</v>
      </c>
      <c r="J849">
        <v>4305.0200000000004</v>
      </c>
      <c r="K849">
        <v>0</v>
      </c>
      <c r="L849">
        <v>2024</v>
      </c>
    </row>
    <row r="850" spans="1:12" x14ac:dyDescent="0.25">
      <c r="A850" s="1" t="s">
        <v>885</v>
      </c>
      <c r="B850" s="1" t="s">
        <v>15</v>
      </c>
      <c r="C850">
        <v>97</v>
      </c>
      <c r="D850" s="1" t="s">
        <v>833</v>
      </c>
      <c r="E850">
        <v>79953.59</v>
      </c>
      <c r="F850">
        <v>77417.3</v>
      </c>
      <c r="G850">
        <v>49</v>
      </c>
      <c r="H850">
        <v>31</v>
      </c>
      <c r="I850">
        <v>35255.97</v>
      </c>
      <c r="J850">
        <v>7918.9</v>
      </c>
      <c r="K850">
        <v>0</v>
      </c>
      <c r="L850">
        <v>2024</v>
      </c>
    </row>
    <row r="851" spans="1:12" x14ac:dyDescent="0.25">
      <c r="A851" s="1" t="s">
        <v>886</v>
      </c>
      <c r="B851" s="1" t="s">
        <v>17</v>
      </c>
      <c r="C851">
        <v>7</v>
      </c>
      <c r="D851" s="1" t="s">
        <v>833</v>
      </c>
      <c r="E851">
        <v>4000</v>
      </c>
      <c r="F851">
        <v>3738.16</v>
      </c>
      <c r="G851">
        <v>53</v>
      </c>
      <c r="H851">
        <v>46</v>
      </c>
      <c r="I851">
        <v>86192.08</v>
      </c>
      <c r="J851">
        <v>1513.68</v>
      </c>
      <c r="K851">
        <v>1</v>
      </c>
      <c r="L851">
        <v>2024</v>
      </c>
    </row>
    <row r="852" spans="1:12" x14ac:dyDescent="0.25">
      <c r="A852" s="1" t="s">
        <v>887</v>
      </c>
      <c r="B852" s="1" t="s">
        <v>17</v>
      </c>
      <c r="C852">
        <v>87</v>
      </c>
      <c r="D852" s="1" t="s">
        <v>833</v>
      </c>
      <c r="E852">
        <v>60468.61</v>
      </c>
      <c r="F852">
        <v>61891.99</v>
      </c>
      <c r="G852">
        <v>57</v>
      </c>
      <c r="H852">
        <v>43</v>
      </c>
      <c r="I852">
        <v>24043.26</v>
      </c>
      <c r="J852">
        <v>126.02</v>
      </c>
      <c r="K852">
        <v>0</v>
      </c>
      <c r="L852">
        <v>2024</v>
      </c>
    </row>
    <row r="853" spans="1:12" x14ac:dyDescent="0.25">
      <c r="A853" s="1" t="s">
        <v>888</v>
      </c>
      <c r="B853" s="1" t="s">
        <v>12</v>
      </c>
      <c r="C853">
        <v>34</v>
      </c>
      <c r="D853" s="1" t="s">
        <v>833</v>
      </c>
      <c r="E853">
        <v>28865.65</v>
      </c>
      <c r="F853">
        <v>20503.48</v>
      </c>
      <c r="G853">
        <v>25</v>
      </c>
      <c r="H853">
        <v>31</v>
      </c>
      <c r="I853">
        <v>34551.620000000003</v>
      </c>
      <c r="J853">
        <v>0</v>
      </c>
      <c r="K853">
        <v>0</v>
      </c>
      <c r="L853">
        <v>2024</v>
      </c>
    </row>
    <row r="854" spans="1:12" x14ac:dyDescent="0.25">
      <c r="A854" s="1" t="s">
        <v>889</v>
      </c>
      <c r="B854" s="1" t="s">
        <v>18</v>
      </c>
      <c r="C854">
        <v>47</v>
      </c>
      <c r="D854" s="1" t="s">
        <v>833</v>
      </c>
      <c r="E854">
        <v>39902.9</v>
      </c>
      <c r="F854">
        <v>37740.5</v>
      </c>
      <c r="G854">
        <v>74</v>
      </c>
      <c r="H854">
        <v>38</v>
      </c>
      <c r="I854">
        <v>1146.03</v>
      </c>
      <c r="J854">
        <v>4817.84</v>
      </c>
      <c r="K854">
        <v>0</v>
      </c>
      <c r="L854">
        <v>2024</v>
      </c>
    </row>
    <row r="855" spans="1:12" x14ac:dyDescent="0.25">
      <c r="A855" s="1" t="s">
        <v>890</v>
      </c>
      <c r="B855" s="1" t="s">
        <v>16</v>
      </c>
      <c r="C855">
        <v>82</v>
      </c>
      <c r="D855" s="1" t="s">
        <v>833</v>
      </c>
      <c r="E855">
        <v>68572.160000000003</v>
      </c>
      <c r="F855">
        <v>63791.67</v>
      </c>
      <c r="G855">
        <v>24</v>
      </c>
      <c r="H855">
        <v>19</v>
      </c>
      <c r="I855">
        <v>36571.699999999997</v>
      </c>
      <c r="J855">
        <v>4344.13</v>
      </c>
      <c r="K855">
        <v>0</v>
      </c>
      <c r="L855">
        <v>2024</v>
      </c>
    </row>
    <row r="856" spans="1:12" x14ac:dyDescent="0.25">
      <c r="A856" s="1" t="s">
        <v>891</v>
      </c>
      <c r="B856" s="1" t="s">
        <v>12</v>
      </c>
      <c r="C856">
        <v>63</v>
      </c>
      <c r="D856" s="1" t="s">
        <v>833</v>
      </c>
      <c r="E856">
        <v>58412.160000000003</v>
      </c>
      <c r="F856">
        <v>62290.720000000001</v>
      </c>
      <c r="G856">
        <v>38</v>
      </c>
      <c r="H856">
        <v>42</v>
      </c>
      <c r="I856">
        <v>11010.85</v>
      </c>
      <c r="J856">
        <v>7841.24</v>
      </c>
      <c r="K856">
        <v>0</v>
      </c>
      <c r="L856">
        <v>2024</v>
      </c>
    </row>
    <row r="857" spans="1:12" x14ac:dyDescent="0.25">
      <c r="A857" s="1" t="s">
        <v>892</v>
      </c>
      <c r="B857" s="1" t="s">
        <v>16</v>
      </c>
      <c r="C857">
        <v>80</v>
      </c>
      <c r="D857" s="1" t="s">
        <v>833</v>
      </c>
      <c r="E857">
        <v>56886.93</v>
      </c>
      <c r="F857">
        <v>35465.120000000003</v>
      </c>
      <c r="G857">
        <v>39</v>
      </c>
      <c r="H857">
        <v>15</v>
      </c>
      <c r="I857">
        <v>57064.38</v>
      </c>
      <c r="J857">
        <v>0</v>
      </c>
      <c r="K857">
        <v>0</v>
      </c>
      <c r="L857">
        <v>2024</v>
      </c>
    </row>
    <row r="858" spans="1:12" x14ac:dyDescent="0.25">
      <c r="A858" s="1" t="s">
        <v>893</v>
      </c>
      <c r="B858" s="1" t="s">
        <v>15</v>
      </c>
      <c r="C858">
        <v>95</v>
      </c>
      <c r="D858" s="1" t="s">
        <v>833</v>
      </c>
      <c r="E858">
        <v>84424.98</v>
      </c>
      <c r="F858">
        <v>81402.3</v>
      </c>
      <c r="G858">
        <v>29</v>
      </c>
      <c r="H858">
        <v>0</v>
      </c>
      <c r="I858">
        <v>37031.199999999997</v>
      </c>
      <c r="J858">
        <v>1147.6199999999999</v>
      </c>
      <c r="K858">
        <v>0</v>
      </c>
      <c r="L858">
        <v>2024</v>
      </c>
    </row>
    <row r="859" spans="1:12" x14ac:dyDescent="0.25">
      <c r="A859" s="1" t="s">
        <v>894</v>
      </c>
      <c r="B859" s="1" t="s">
        <v>17</v>
      </c>
      <c r="C859">
        <v>69</v>
      </c>
      <c r="D859" s="1" t="s">
        <v>833</v>
      </c>
      <c r="E859">
        <v>61747.44</v>
      </c>
      <c r="F859">
        <v>58586.85</v>
      </c>
      <c r="G859">
        <v>10</v>
      </c>
      <c r="H859">
        <v>7</v>
      </c>
      <c r="I859">
        <v>25812.66</v>
      </c>
      <c r="J859">
        <v>5038.63</v>
      </c>
      <c r="K859">
        <v>0</v>
      </c>
      <c r="L859">
        <v>2024</v>
      </c>
    </row>
    <row r="860" spans="1:12" x14ac:dyDescent="0.25">
      <c r="A860" s="1" t="s">
        <v>895</v>
      </c>
      <c r="B860" s="1" t="s">
        <v>14</v>
      </c>
      <c r="C860">
        <v>59</v>
      </c>
      <c r="D860" s="1" t="s">
        <v>833</v>
      </c>
      <c r="E860">
        <v>53945.78</v>
      </c>
      <c r="F860">
        <v>36007.699999999997</v>
      </c>
      <c r="G860">
        <v>14</v>
      </c>
      <c r="H860">
        <v>73</v>
      </c>
      <c r="I860">
        <v>17612.04</v>
      </c>
      <c r="J860">
        <v>3871.05</v>
      </c>
      <c r="K860">
        <v>0</v>
      </c>
      <c r="L860">
        <v>2024</v>
      </c>
    </row>
    <row r="861" spans="1:12" x14ac:dyDescent="0.25">
      <c r="A861" s="1" t="s">
        <v>896</v>
      </c>
      <c r="B861" s="1" t="s">
        <v>16</v>
      </c>
      <c r="C861">
        <v>34</v>
      </c>
      <c r="D861" s="1" t="s">
        <v>833</v>
      </c>
      <c r="E861">
        <v>40500.68</v>
      </c>
      <c r="F861">
        <v>26074.26</v>
      </c>
      <c r="G861">
        <v>21</v>
      </c>
      <c r="H861">
        <v>27</v>
      </c>
      <c r="I861">
        <v>37701.89</v>
      </c>
      <c r="J861">
        <v>0</v>
      </c>
      <c r="K861">
        <v>0</v>
      </c>
      <c r="L861">
        <v>2024</v>
      </c>
    </row>
    <row r="862" spans="1:12" x14ac:dyDescent="0.25">
      <c r="A862" s="1" t="s">
        <v>897</v>
      </c>
      <c r="B862" s="1" t="s">
        <v>15</v>
      </c>
      <c r="C862">
        <v>79</v>
      </c>
      <c r="D862" s="1" t="s">
        <v>833</v>
      </c>
      <c r="E862">
        <v>57536.28</v>
      </c>
      <c r="F862">
        <v>37612.14</v>
      </c>
      <c r="G862">
        <v>33</v>
      </c>
      <c r="H862">
        <v>5</v>
      </c>
      <c r="I862">
        <v>57491.54</v>
      </c>
      <c r="J862">
        <v>2701.11</v>
      </c>
      <c r="K862">
        <v>1</v>
      </c>
      <c r="L862">
        <v>2024</v>
      </c>
    </row>
    <row r="863" spans="1:12" x14ac:dyDescent="0.25">
      <c r="A863" s="1" t="s">
        <v>898</v>
      </c>
      <c r="B863" s="1" t="s">
        <v>15</v>
      </c>
      <c r="C863">
        <v>95</v>
      </c>
      <c r="D863" s="1" t="s">
        <v>833</v>
      </c>
      <c r="E863">
        <v>93573.02</v>
      </c>
      <c r="F863">
        <v>80645.58</v>
      </c>
      <c r="G863">
        <v>37</v>
      </c>
      <c r="H863">
        <v>32</v>
      </c>
      <c r="I863">
        <v>44444.06</v>
      </c>
      <c r="J863">
        <v>10207.07</v>
      </c>
      <c r="K863">
        <v>0</v>
      </c>
      <c r="L863">
        <v>2024</v>
      </c>
    </row>
    <row r="864" spans="1:12" x14ac:dyDescent="0.25">
      <c r="A864" s="1" t="s">
        <v>899</v>
      </c>
      <c r="B864" s="1" t="s">
        <v>15</v>
      </c>
      <c r="C864">
        <v>120</v>
      </c>
      <c r="D864" s="1" t="s">
        <v>833</v>
      </c>
      <c r="E864">
        <v>104895.02</v>
      </c>
      <c r="F864">
        <v>101070.1</v>
      </c>
      <c r="G864">
        <v>25</v>
      </c>
      <c r="H864">
        <v>46</v>
      </c>
      <c r="I864">
        <v>25692.83</v>
      </c>
      <c r="J864">
        <v>4651.8999999999996</v>
      </c>
      <c r="K864">
        <v>0</v>
      </c>
      <c r="L864">
        <v>2024</v>
      </c>
    </row>
    <row r="865" spans="1:12" x14ac:dyDescent="0.25">
      <c r="A865" s="1" t="s">
        <v>900</v>
      </c>
      <c r="B865" s="1" t="s">
        <v>15</v>
      </c>
      <c r="C865">
        <v>102</v>
      </c>
      <c r="D865" s="1" t="s">
        <v>833</v>
      </c>
      <c r="E865">
        <v>93460.29</v>
      </c>
      <c r="F865">
        <v>82511.820000000007</v>
      </c>
      <c r="G865">
        <v>36</v>
      </c>
      <c r="H865">
        <v>31</v>
      </c>
      <c r="I865">
        <v>55081.65</v>
      </c>
      <c r="J865">
        <v>2726.41</v>
      </c>
      <c r="K865">
        <v>0</v>
      </c>
      <c r="L865">
        <v>2024</v>
      </c>
    </row>
    <row r="866" spans="1:12" x14ac:dyDescent="0.25">
      <c r="A866" s="1" t="s">
        <v>901</v>
      </c>
      <c r="B866" s="1" t="s">
        <v>16</v>
      </c>
      <c r="C866">
        <v>62</v>
      </c>
      <c r="D866" s="1" t="s">
        <v>833</v>
      </c>
      <c r="E866">
        <v>44321.14</v>
      </c>
      <c r="F866">
        <v>40335.279999999999</v>
      </c>
      <c r="G866">
        <v>52</v>
      </c>
      <c r="H866">
        <v>23</v>
      </c>
      <c r="I866">
        <v>10991.16</v>
      </c>
      <c r="J866">
        <v>4416.8100000000004</v>
      </c>
      <c r="K866">
        <v>1</v>
      </c>
      <c r="L866">
        <v>2024</v>
      </c>
    </row>
    <row r="867" spans="1:12" x14ac:dyDescent="0.25">
      <c r="A867" s="1" t="s">
        <v>902</v>
      </c>
      <c r="B867" s="1" t="s">
        <v>16</v>
      </c>
      <c r="C867">
        <v>118</v>
      </c>
      <c r="D867" s="1" t="s">
        <v>833</v>
      </c>
      <c r="E867">
        <v>92287.43</v>
      </c>
      <c r="F867">
        <v>68506.45</v>
      </c>
      <c r="G867">
        <v>45</v>
      </c>
      <c r="H867">
        <v>32</v>
      </c>
      <c r="I867">
        <v>25496.83</v>
      </c>
      <c r="J867">
        <v>4219.32</v>
      </c>
      <c r="K867">
        <v>1</v>
      </c>
      <c r="L867">
        <v>2024</v>
      </c>
    </row>
    <row r="868" spans="1:12" x14ac:dyDescent="0.25">
      <c r="A868" s="1" t="s">
        <v>903</v>
      </c>
      <c r="B868" s="1" t="s">
        <v>14</v>
      </c>
      <c r="C868">
        <v>106</v>
      </c>
      <c r="D868" s="1" t="s">
        <v>833</v>
      </c>
      <c r="E868">
        <v>81698.31</v>
      </c>
      <c r="F868">
        <v>78215.149999999994</v>
      </c>
      <c r="G868">
        <v>67</v>
      </c>
      <c r="H868">
        <v>26</v>
      </c>
      <c r="I868">
        <v>43303.19</v>
      </c>
      <c r="J868">
        <v>322.57</v>
      </c>
      <c r="K868">
        <v>0</v>
      </c>
      <c r="L868">
        <v>2024</v>
      </c>
    </row>
    <row r="869" spans="1:12" x14ac:dyDescent="0.25">
      <c r="A869" s="1" t="s">
        <v>904</v>
      </c>
      <c r="B869" s="1" t="s">
        <v>16</v>
      </c>
      <c r="C869">
        <v>31</v>
      </c>
      <c r="D869" s="1" t="s">
        <v>833</v>
      </c>
      <c r="E869">
        <v>22558.560000000001</v>
      </c>
      <c r="F869">
        <v>22255.919999999998</v>
      </c>
      <c r="G869">
        <v>24</v>
      </c>
      <c r="H869">
        <v>9</v>
      </c>
      <c r="I869">
        <v>31949.3</v>
      </c>
      <c r="J869">
        <v>3754.88</v>
      </c>
      <c r="K869">
        <v>1</v>
      </c>
      <c r="L869">
        <v>2024</v>
      </c>
    </row>
    <row r="870" spans="1:12" x14ac:dyDescent="0.25">
      <c r="A870" s="1" t="s">
        <v>905</v>
      </c>
      <c r="B870" s="1" t="s">
        <v>18</v>
      </c>
      <c r="C870">
        <v>28</v>
      </c>
      <c r="D870" s="1" t="s">
        <v>833</v>
      </c>
      <c r="E870">
        <v>23548.45</v>
      </c>
      <c r="F870">
        <v>16998.38</v>
      </c>
      <c r="G870">
        <v>10</v>
      </c>
      <c r="H870">
        <v>55</v>
      </c>
      <c r="I870">
        <v>34535.370000000003</v>
      </c>
      <c r="J870">
        <v>5576.8</v>
      </c>
      <c r="K870">
        <v>1</v>
      </c>
      <c r="L870">
        <v>2024</v>
      </c>
    </row>
    <row r="871" spans="1:12" x14ac:dyDescent="0.25">
      <c r="A871" s="1" t="s">
        <v>906</v>
      </c>
      <c r="B871" s="1" t="s">
        <v>17</v>
      </c>
      <c r="C871">
        <v>111</v>
      </c>
      <c r="D871" s="1" t="s">
        <v>833</v>
      </c>
      <c r="E871">
        <v>88365.69</v>
      </c>
      <c r="F871">
        <v>86087.13</v>
      </c>
      <c r="G871">
        <v>51</v>
      </c>
      <c r="H871">
        <v>25</v>
      </c>
      <c r="I871">
        <v>35100.959999999999</v>
      </c>
      <c r="J871">
        <v>0</v>
      </c>
      <c r="K871">
        <v>0</v>
      </c>
      <c r="L871">
        <v>2024</v>
      </c>
    </row>
    <row r="872" spans="1:12" x14ac:dyDescent="0.25">
      <c r="A872" s="1" t="s">
        <v>907</v>
      </c>
      <c r="B872" s="1" t="s">
        <v>17</v>
      </c>
      <c r="C872">
        <v>93</v>
      </c>
      <c r="D872" s="1" t="s">
        <v>833</v>
      </c>
      <c r="E872">
        <v>78230.89</v>
      </c>
      <c r="F872">
        <v>72506.399999999994</v>
      </c>
      <c r="G872">
        <v>28</v>
      </c>
      <c r="H872">
        <v>38</v>
      </c>
      <c r="I872">
        <v>48344.11</v>
      </c>
      <c r="J872">
        <v>3066.93</v>
      </c>
      <c r="K872">
        <v>0</v>
      </c>
      <c r="L872">
        <v>2024</v>
      </c>
    </row>
    <row r="873" spans="1:12" x14ac:dyDescent="0.25">
      <c r="A873" s="1" t="s">
        <v>908</v>
      </c>
      <c r="B873" s="1" t="s">
        <v>18</v>
      </c>
      <c r="C873">
        <v>14</v>
      </c>
      <c r="D873" s="1" t="s">
        <v>833</v>
      </c>
      <c r="E873">
        <v>26717.65</v>
      </c>
      <c r="F873">
        <v>20642.18</v>
      </c>
      <c r="G873">
        <v>43</v>
      </c>
      <c r="H873">
        <v>24</v>
      </c>
      <c r="I873">
        <v>23384.080000000002</v>
      </c>
      <c r="J873">
        <v>0</v>
      </c>
      <c r="K873">
        <v>0</v>
      </c>
      <c r="L873">
        <v>2024</v>
      </c>
    </row>
    <row r="874" spans="1:12" x14ac:dyDescent="0.25">
      <c r="A874" s="1" t="s">
        <v>909</v>
      </c>
      <c r="B874" s="1" t="s">
        <v>12</v>
      </c>
      <c r="C874">
        <v>76</v>
      </c>
      <c r="D874" s="1" t="s">
        <v>833</v>
      </c>
      <c r="E874">
        <v>60997.760000000002</v>
      </c>
      <c r="F874">
        <v>42839.86</v>
      </c>
      <c r="G874">
        <v>26</v>
      </c>
      <c r="H874">
        <v>23</v>
      </c>
      <c r="I874">
        <v>41301.06</v>
      </c>
      <c r="J874">
        <v>4728.95</v>
      </c>
      <c r="K874">
        <v>1</v>
      </c>
      <c r="L874">
        <v>2024</v>
      </c>
    </row>
    <row r="875" spans="1:12" x14ac:dyDescent="0.25">
      <c r="A875" s="1" t="s">
        <v>910</v>
      </c>
      <c r="B875" s="1" t="s">
        <v>15</v>
      </c>
      <c r="C875">
        <v>22</v>
      </c>
      <c r="D875" s="1" t="s">
        <v>833</v>
      </c>
      <c r="E875">
        <v>9340.23</v>
      </c>
      <c r="F875">
        <v>5536.9</v>
      </c>
      <c r="G875">
        <v>45</v>
      </c>
      <c r="H875">
        <v>26</v>
      </c>
      <c r="I875">
        <v>70261.81</v>
      </c>
      <c r="J875">
        <v>3316.33</v>
      </c>
      <c r="K875">
        <v>0</v>
      </c>
      <c r="L875">
        <v>2024</v>
      </c>
    </row>
    <row r="876" spans="1:12" x14ac:dyDescent="0.25">
      <c r="A876" s="1" t="s">
        <v>911</v>
      </c>
      <c r="B876" s="1" t="s">
        <v>16</v>
      </c>
      <c r="C876">
        <v>35</v>
      </c>
      <c r="D876" s="1" t="s">
        <v>912</v>
      </c>
      <c r="E876">
        <v>32810.94</v>
      </c>
      <c r="F876">
        <v>29149.09</v>
      </c>
      <c r="G876">
        <v>62</v>
      </c>
      <c r="H876">
        <v>28</v>
      </c>
      <c r="I876">
        <v>14743.13</v>
      </c>
      <c r="J876">
        <v>1686.36</v>
      </c>
      <c r="K876">
        <v>0</v>
      </c>
      <c r="L876">
        <v>2024</v>
      </c>
    </row>
    <row r="877" spans="1:12" x14ac:dyDescent="0.25">
      <c r="A877" s="1" t="s">
        <v>913</v>
      </c>
      <c r="B877" s="1" t="s">
        <v>16</v>
      </c>
      <c r="C877">
        <v>90</v>
      </c>
      <c r="D877" s="1" t="s">
        <v>912</v>
      </c>
      <c r="E877">
        <v>76340.91</v>
      </c>
      <c r="F877">
        <v>66491.62</v>
      </c>
      <c r="G877">
        <v>56</v>
      </c>
      <c r="H877">
        <v>12</v>
      </c>
      <c r="I877">
        <v>0</v>
      </c>
      <c r="J877">
        <v>4640.8900000000003</v>
      </c>
      <c r="K877">
        <v>1</v>
      </c>
      <c r="L877">
        <v>2024</v>
      </c>
    </row>
    <row r="878" spans="1:12" x14ac:dyDescent="0.25">
      <c r="A878" s="1" t="s">
        <v>914</v>
      </c>
      <c r="B878" s="1" t="s">
        <v>16</v>
      </c>
      <c r="C878">
        <v>103</v>
      </c>
      <c r="D878" s="1" t="s">
        <v>912</v>
      </c>
      <c r="E878">
        <v>64443.61</v>
      </c>
      <c r="F878">
        <v>44606.44</v>
      </c>
      <c r="G878">
        <v>13</v>
      </c>
      <c r="H878">
        <v>56</v>
      </c>
      <c r="I878">
        <v>49400.27</v>
      </c>
      <c r="J878">
        <v>6259.72</v>
      </c>
      <c r="K878">
        <v>0</v>
      </c>
      <c r="L878">
        <v>2024</v>
      </c>
    </row>
    <row r="879" spans="1:12" x14ac:dyDescent="0.25">
      <c r="A879" s="1" t="s">
        <v>915</v>
      </c>
      <c r="B879" s="1" t="s">
        <v>17</v>
      </c>
      <c r="C879">
        <v>105</v>
      </c>
      <c r="D879" s="1" t="s">
        <v>912</v>
      </c>
      <c r="E879">
        <v>84636.5</v>
      </c>
      <c r="F879">
        <v>59059.51</v>
      </c>
      <c r="G879">
        <v>38</v>
      </c>
      <c r="H879">
        <v>34</v>
      </c>
      <c r="I879">
        <v>40399.300000000003</v>
      </c>
      <c r="J879">
        <v>0</v>
      </c>
      <c r="K879">
        <v>0</v>
      </c>
      <c r="L879">
        <v>2024</v>
      </c>
    </row>
    <row r="880" spans="1:12" x14ac:dyDescent="0.25">
      <c r="A880" s="1" t="s">
        <v>916</v>
      </c>
      <c r="B880" s="1" t="s">
        <v>15</v>
      </c>
      <c r="C880">
        <v>89</v>
      </c>
      <c r="D880" s="1" t="s">
        <v>912</v>
      </c>
      <c r="E880">
        <v>76189.929999999993</v>
      </c>
      <c r="F880">
        <v>74909.72</v>
      </c>
      <c r="G880">
        <v>10</v>
      </c>
      <c r="H880">
        <v>15</v>
      </c>
      <c r="I880">
        <v>22449.01</v>
      </c>
      <c r="J880">
        <v>2102.02</v>
      </c>
      <c r="K880">
        <v>0</v>
      </c>
      <c r="L880">
        <v>2024</v>
      </c>
    </row>
    <row r="881" spans="1:12" x14ac:dyDescent="0.25">
      <c r="A881" s="1" t="s">
        <v>917</v>
      </c>
      <c r="B881" s="1" t="s">
        <v>12</v>
      </c>
      <c r="C881">
        <v>15</v>
      </c>
      <c r="D881" s="1" t="s">
        <v>912</v>
      </c>
      <c r="E881">
        <v>22197.75</v>
      </c>
      <c r="F881">
        <v>16121.51</v>
      </c>
      <c r="G881">
        <v>32</v>
      </c>
      <c r="H881">
        <v>71</v>
      </c>
      <c r="I881">
        <v>11099.43</v>
      </c>
      <c r="J881">
        <v>4808.97</v>
      </c>
      <c r="K881">
        <v>0</v>
      </c>
      <c r="L881">
        <v>2024</v>
      </c>
    </row>
    <row r="882" spans="1:12" x14ac:dyDescent="0.25">
      <c r="A882" s="1" t="s">
        <v>918</v>
      </c>
      <c r="B882" s="1" t="s">
        <v>16</v>
      </c>
      <c r="C882">
        <v>24</v>
      </c>
      <c r="D882" s="1" t="s">
        <v>912</v>
      </c>
      <c r="E882">
        <v>33515.15</v>
      </c>
      <c r="F882">
        <v>31801.27</v>
      </c>
      <c r="G882">
        <v>31</v>
      </c>
      <c r="H882">
        <v>29</v>
      </c>
      <c r="I882">
        <v>28016.11</v>
      </c>
      <c r="J882">
        <v>4531.1899999999996</v>
      </c>
      <c r="K882">
        <v>1</v>
      </c>
      <c r="L882">
        <v>2024</v>
      </c>
    </row>
    <row r="883" spans="1:12" x14ac:dyDescent="0.25">
      <c r="A883" s="1" t="s">
        <v>919</v>
      </c>
      <c r="B883" s="1" t="s">
        <v>16</v>
      </c>
      <c r="C883">
        <v>86</v>
      </c>
      <c r="D883" s="1" t="s">
        <v>912</v>
      </c>
      <c r="E883">
        <v>56395.66</v>
      </c>
      <c r="F883">
        <v>52518.07</v>
      </c>
      <c r="G883">
        <v>73</v>
      </c>
      <c r="H883">
        <v>48</v>
      </c>
      <c r="I883">
        <v>30605.35</v>
      </c>
      <c r="J883">
        <v>4275.13</v>
      </c>
      <c r="K883">
        <v>0</v>
      </c>
      <c r="L883">
        <v>2024</v>
      </c>
    </row>
    <row r="884" spans="1:12" x14ac:dyDescent="0.25">
      <c r="A884" s="1" t="s">
        <v>920</v>
      </c>
      <c r="B884" s="1" t="s">
        <v>18</v>
      </c>
      <c r="C884">
        <v>75</v>
      </c>
      <c r="D884" s="1" t="s">
        <v>912</v>
      </c>
      <c r="E884">
        <v>56009.3</v>
      </c>
      <c r="F884">
        <v>34942.04</v>
      </c>
      <c r="G884">
        <v>14</v>
      </c>
      <c r="H884">
        <v>17</v>
      </c>
      <c r="I884">
        <v>46634.22</v>
      </c>
      <c r="J884">
        <v>6773.82</v>
      </c>
      <c r="K884">
        <v>0</v>
      </c>
      <c r="L884">
        <v>2024</v>
      </c>
    </row>
    <row r="885" spans="1:12" x14ac:dyDescent="0.25">
      <c r="A885" s="1" t="s">
        <v>921</v>
      </c>
      <c r="B885" s="1" t="s">
        <v>17</v>
      </c>
      <c r="C885">
        <v>111</v>
      </c>
      <c r="D885" s="1" t="s">
        <v>912</v>
      </c>
      <c r="E885">
        <v>73957.070000000007</v>
      </c>
      <c r="F885">
        <v>74232.240000000005</v>
      </c>
      <c r="G885">
        <v>41</v>
      </c>
      <c r="H885">
        <v>12</v>
      </c>
      <c r="I885">
        <v>60956.43</v>
      </c>
      <c r="J885">
        <v>14101.54</v>
      </c>
      <c r="K885">
        <v>0</v>
      </c>
      <c r="L885">
        <v>2024</v>
      </c>
    </row>
    <row r="886" spans="1:12" x14ac:dyDescent="0.25">
      <c r="A886" s="1" t="s">
        <v>922</v>
      </c>
      <c r="B886" s="1" t="s">
        <v>18</v>
      </c>
      <c r="C886">
        <v>89</v>
      </c>
      <c r="D886" s="1" t="s">
        <v>912</v>
      </c>
      <c r="E886">
        <v>84427.71</v>
      </c>
      <c r="F886">
        <v>89320.3</v>
      </c>
      <c r="G886">
        <v>58</v>
      </c>
      <c r="H886">
        <v>34</v>
      </c>
      <c r="I886">
        <v>66754.52</v>
      </c>
      <c r="J886">
        <v>0</v>
      </c>
      <c r="K886">
        <v>0</v>
      </c>
      <c r="L886">
        <v>2024</v>
      </c>
    </row>
    <row r="887" spans="1:12" x14ac:dyDescent="0.25">
      <c r="A887" s="1" t="s">
        <v>923</v>
      </c>
      <c r="B887" s="1" t="s">
        <v>12</v>
      </c>
      <c r="C887">
        <v>116</v>
      </c>
      <c r="D887" s="1" t="s">
        <v>912</v>
      </c>
      <c r="E887">
        <v>90860.2</v>
      </c>
      <c r="F887">
        <v>84154.79</v>
      </c>
      <c r="G887">
        <v>31</v>
      </c>
      <c r="H887">
        <v>62</v>
      </c>
      <c r="I887">
        <v>62706.73</v>
      </c>
      <c r="J887">
        <v>5769.57</v>
      </c>
      <c r="K887">
        <v>1</v>
      </c>
      <c r="L887">
        <v>2024</v>
      </c>
    </row>
    <row r="888" spans="1:12" x14ac:dyDescent="0.25">
      <c r="A888" s="1" t="s">
        <v>924</v>
      </c>
      <c r="B888" s="1" t="s">
        <v>14</v>
      </c>
      <c r="C888">
        <v>63</v>
      </c>
      <c r="D888" s="1" t="s">
        <v>912</v>
      </c>
      <c r="E888">
        <v>58148.61</v>
      </c>
      <c r="F888">
        <v>43135.31</v>
      </c>
      <c r="G888">
        <v>30</v>
      </c>
      <c r="H888">
        <v>10</v>
      </c>
      <c r="I888">
        <v>31814.97</v>
      </c>
      <c r="J888">
        <v>8297.2999999999993</v>
      </c>
      <c r="K888">
        <v>1</v>
      </c>
      <c r="L888">
        <v>2024</v>
      </c>
    </row>
    <row r="889" spans="1:12" x14ac:dyDescent="0.25">
      <c r="A889" s="1" t="s">
        <v>925</v>
      </c>
      <c r="B889" s="1" t="s">
        <v>18</v>
      </c>
      <c r="C889">
        <v>120</v>
      </c>
      <c r="D889" s="1" t="s">
        <v>912</v>
      </c>
      <c r="E889">
        <v>93895.14</v>
      </c>
      <c r="F889">
        <v>89412.96</v>
      </c>
      <c r="G889">
        <v>55</v>
      </c>
      <c r="H889">
        <v>0</v>
      </c>
      <c r="I889">
        <v>26721.93</v>
      </c>
      <c r="J889">
        <v>3545.32</v>
      </c>
      <c r="K889">
        <v>0</v>
      </c>
      <c r="L889">
        <v>2024</v>
      </c>
    </row>
    <row r="890" spans="1:12" x14ac:dyDescent="0.25">
      <c r="A890" s="1" t="s">
        <v>926</v>
      </c>
      <c r="B890" s="1" t="s">
        <v>14</v>
      </c>
      <c r="C890">
        <v>68</v>
      </c>
      <c r="D890" s="1" t="s">
        <v>912</v>
      </c>
      <c r="E890">
        <v>70911.88</v>
      </c>
      <c r="F890">
        <v>41849.29</v>
      </c>
      <c r="G890">
        <v>10</v>
      </c>
      <c r="H890">
        <v>47</v>
      </c>
      <c r="I890">
        <v>51054.93</v>
      </c>
      <c r="J890">
        <v>7273.99</v>
      </c>
      <c r="K890">
        <v>0</v>
      </c>
      <c r="L890">
        <v>2024</v>
      </c>
    </row>
    <row r="891" spans="1:12" x14ac:dyDescent="0.25">
      <c r="A891" s="1" t="s">
        <v>927</v>
      </c>
      <c r="B891" s="1" t="s">
        <v>15</v>
      </c>
      <c r="C891">
        <v>34</v>
      </c>
      <c r="D891" s="1" t="s">
        <v>912</v>
      </c>
      <c r="E891">
        <v>33851.14</v>
      </c>
      <c r="F891">
        <v>23433.439999999999</v>
      </c>
      <c r="G891">
        <v>40</v>
      </c>
      <c r="H891">
        <v>0</v>
      </c>
      <c r="I891">
        <v>12578.63</v>
      </c>
      <c r="J891">
        <v>2580.3200000000002</v>
      </c>
      <c r="K891">
        <v>0</v>
      </c>
      <c r="L891">
        <v>2024</v>
      </c>
    </row>
    <row r="892" spans="1:12" x14ac:dyDescent="0.25">
      <c r="A892" s="1" t="s">
        <v>928</v>
      </c>
      <c r="B892" s="1" t="s">
        <v>18</v>
      </c>
      <c r="C892">
        <v>7</v>
      </c>
      <c r="D892" s="1" t="s">
        <v>912</v>
      </c>
      <c r="E892">
        <v>14537.75</v>
      </c>
      <c r="F892">
        <v>11729.29</v>
      </c>
      <c r="G892">
        <v>41</v>
      </c>
      <c r="H892">
        <v>48</v>
      </c>
      <c r="I892">
        <v>18736.72</v>
      </c>
      <c r="J892">
        <v>1732.63</v>
      </c>
      <c r="K892">
        <v>1</v>
      </c>
      <c r="L892">
        <v>2024</v>
      </c>
    </row>
    <row r="893" spans="1:12" x14ac:dyDescent="0.25">
      <c r="A893" s="1" t="s">
        <v>929</v>
      </c>
      <c r="B893" s="1" t="s">
        <v>12</v>
      </c>
      <c r="C893">
        <v>15</v>
      </c>
      <c r="D893" s="1" t="s">
        <v>912</v>
      </c>
      <c r="E893">
        <v>25451.14</v>
      </c>
      <c r="F893">
        <v>19902.310000000001</v>
      </c>
      <c r="G893">
        <v>40</v>
      </c>
      <c r="H893">
        <v>19</v>
      </c>
      <c r="I893">
        <v>19582.509999999998</v>
      </c>
      <c r="J893">
        <v>8851.98</v>
      </c>
      <c r="K893">
        <v>0</v>
      </c>
      <c r="L893">
        <v>2024</v>
      </c>
    </row>
    <row r="894" spans="1:12" x14ac:dyDescent="0.25">
      <c r="A894" s="1" t="s">
        <v>930</v>
      </c>
      <c r="B894" s="1" t="s">
        <v>15</v>
      </c>
      <c r="C894">
        <v>99</v>
      </c>
      <c r="D894" s="1" t="s">
        <v>912</v>
      </c>
      <c r="E894">
        <v>91873.72</v>
      </c>
      <c r="F894">
        <v>97997.89</v>
      </c>
      <c r="G894">
        <v>13</v>
      </c>
      <c r="H894">
        <v>49</v>
      </c>
      <c r="I894">
        <v>21776</v>
      </c>
      <c r="J894">
        <v>2276.0100000000002</v>
      </c>
      <c r="K894">
        <v>0</v>
      </c>
      <c r="L894">
        <v>2024</v>
      </c>
    </row>
    <row r="895" spans="1:12" x14ac:dyDescent="0.25">
      <c r="A895" s="1" t="s">
        <v>931</v>
      </c>
      <c r="B895" s="1" t="s">
        <v>14</v>
      </c>
      <c r="C895">
        <v>20</v>
      </c>
      <c r="D895" s="1" t="s">
        <v>912</v>
      </c>
      <c r="E895">
        <v>17202.21</v>
      </c>
      <c r="F895">
        <v>13292.94</v>
      </c>
      <c r="G895">
        <v>57</v>
      </c>
      <c r="H895">
        <v>25</v>
      </c>
      <c r="I895">
        <v>58057</v>
      </c>
      <c r="J895">
        <v>0</v>
      </c>
      <c r="K895">
        <v>0</v>
      </c>
      <c r="L895">
        <v>2024</v>
      </c>
    </row>
    <row r="896" spans="1:12" x14ac:dyDescent="0.25">
      <c r="A896" s="1" t="s">
        <v>932</v>
      </c>
      <c r="B896" s="1" t="s">
        <v>15</v>
      </c>
      <c r="C896">
        <v>91</v>
      </c>
      <c r="D896" s="1" t="s">
        <v>912</v>
      </c>
      <c r="E896">
        <v>73167.58</v>
      </c>
      <c r="F896">
        <v>73702.009999999995</v>
      </c>
      <c r="G896">
        <v>43</v>
      </c>
      <c r="H896">
        <v>21</v>
      </c>
      <c r="I896">
        <v>2254.5700000000002</v>
      </c>
      <c r="J896">
        <v>0</v>
      </c>
      <c r="K896">
        <v>0</v>
      </c>
      <c r="L896">
        <v>2024</v>
      </c>
    </row>
    <row r="897" spans="1:12" x14ac:dyDescent="0.25">
      <c r="A897" s="1" t="s">
        <v>933</v>
      </c>
      <c r="B897" s="1" t="s">
        <v>16</v>
      </c>
      <c r="C897">
        <v>13</v>
      </c>
      <c r="D897" s="1" t="s">
        <v>912</v>
      </c>
      <c r="E897">
        <v>16660.849999999999</v>
      </c>
      <c r="F897">
        <v>15050.83</v>
      </c>
      <c r="G897">
        <v>66</v>
      </c>
      <c r="H897">
        <v>19</v>
      </c>
      <c r="I897">
        <v>66010.87</v>
      </c>
      <c r="J897">
        <v>0</v>
      </c>
      <c r="K897">
        <v>0</v>
      </c>
      <c r="L897">
        <v>2024</v>
      </c>
    </row>
    <row r="898" spans="1:12" x14ac:dyDescent="0.25">
      <c r="A898" s="1" t="s">
        <v>934</v>
      </c>
      <c r="B898" s="1" t="s">
        <v>17</v>
      </c>
      <c r="C898">
        <v>85</v>
      </c>
      <c r="D898" s="1" t="s">
        <v>912</v>
      </c>
      <c r="E898">
        <v>62301.38</v>
      </c>
      <c r="F898">
        <v>60347.21</v>
      </c>
      <c r="G898">
        <v>42</v>
      </c>
      <c r="H898">
        <v>47</v>
      </c>
      <c r="I898">
        <v>27885.65</v>
      </c>
      <c r="J898">
        <v>2475.84</v>
      </c>
      <c r="K898">
        <v>1</v>
      </c>
      <c r="L898">
        <v>2024</v>
      </c>
    </row>
    <row r="899" spans="1:12" x14ac:dyDescent="0.25">
      <c r="A899" s="1" t="s">
        <v>935</v>
      </c>
      <c r="B899" s="1" t="s">
        <v>17</v>
      </c>
      <c r="C899">
        <v>50</v>
      </c>
      <c r="D899" s="1" t="s">
        <v>912</v>
      </c>
      <c r="E899">
        <v>57932.71</v>
      </c>
      <c r="F899">
        <v>42805.02</v>
      </c>
      <c r="G899">
        <v>40</v>
      </c>
      <c r="H899">
        <v>22</v>
      </c>
      <c r="I899">
        <v>46224.24</v>
      </c>
      <c r="J899">
        <v>5006.24</v>
      </c>
      <c r="K899">
        <v>0</v>
      </c>
      <c r="L899">
        <v>2024</v>
      </c>
    </row>
    <row r="900" spans="1:12" x14ac:dyDescent="0.25">
      <c r="A900" s="1" t="s">
        <v>936</v>
      </c>
      <c r="B900" s="1" t="s">
        <v>17</v>
      </c>
      <c r="C900">
        <v>83</v>
      </c>
      <c r="D900" s="1" t="s">
        <v>912</v>
      </c>
      <c r="E900">
        <v>62587.78</v>
      </c>
      <c r="F900">
        <v>46495.42</v>
      </c>
      <c r="G900">
        <v>34</v>
      </c>
      <c r="H900">
        <v>36</v>
      </c>
      <c r="I900">
        <v>61567.63</v>
      </c>
      <c r="J900">
        <v>0</v>
      </c>
      <c r="K900">
        <v>0</v>
      </c>
      <c r="L900">
        <v>2024</v>
      </c>
    </row>
    <row r="901" spans="1:12" x14ac:dyDescent="0.25">
      <c r="A901" s="1" t="s">
        <v>937</v>
      </c>
      <c r="B901" s="1" t="s">
        <v>15</v>
      </c>
      <c r="C901">
        <v>85</v>
      </c>
      <c r="D901" s="1" t="s">
        <v>912</v>
      </c>
      <c r="E901">
        <v>59735.93</v>
      </c>
      <c r="F901">
        <v>42719.12</v>
      </c>
      <c r="G901">
        <v>24</v>
      </c>
      <c r="H901">
        <v>28</v>
      </c>
      <c r="I901">
        <v>89524.44</v>
      </c>
      <c r="J901">
        <v>1527.07</v>
      </c>
      <c r="K901">
        <v>0</v>
      </c>
      <c r="L901">
        <v>2024</v>
      </c>
    </row>
    <row r="902" spans="1:12" x14ac:dyDescent="0.25">
      <c r="A902" s="1" t="s">
        <v>938</v>
      </c>
      <c r="B902" s="1" t="s">
        <v>15</v>
      </c>
      <c r="C902">
        <v>66</v>
      </c>
      <c r="D902" s="1" t="s">
        <v>912</v>
      </c>
      <c r="E902">
        <v>56739.19</v>
      </c>
      <c r="F902">
        <v>41514.79</v>
      </c>
      <c r="G902">
        <v>25</v>
      </c>
      <c r="H902">
        <v>8</v>
      </c>
      <c r="I902">
        <v>71660.38</v>
      </c>
      <c r="J902">
        <v>138.68</v>
      </c>
      <c r="K902">
        <v>0</v>
      </c>
      <c r="L902">
        <v>2024</v>
      </c>
    </row>
    <row r="903" spans="1:12" x14ac:dyDescent="0.25">
      <c r="A903" s="1" t="s">
        <v>939</v>
      </c>
      <c r="B903" s="1" t="s">
        <v>17</v>
      </c>
      <c r="C903">
        <v>4</v>
      </c>
      <c r="D903" s="1" t="s">
        <v>912</v>
      </c>
      <c r="E903">
        <v>7436.41</v>
      </c>
      <c r="F903">
        <v>4377.62</v>
      </c>
      <c r="G903">
        <v>66</v>
      </c>
      <c r="H903">
        <v>14</v>
      </c>
      <c r="I903">
        <v>41008.53</v>
      </c>
      <c r="J903">
        <v>1145.6600000000001</v>
      </c>
      <c r="K903">
        <v>0</v>
      </c>
      <c r="L903">
        <v>2024</v>
      </c>
    </row>
    <row r="904" spans="1:12" x14ac:dyDescent="0.25">
      <c r="A904" s="1" t="s">
        <v>940</v>
      </c>
      <c r="B904" s="1" t="s">
        <v>18</v>
      </c>
      <c r="C904">
        <v>14</v>
      </c>
      <c r="D904" s="1" t="s">
        <v>912</v>
      </c>
      <c r="E904">
        <v>30153.64</v>
      </c>
      <c r="F904">
        <v>26395.66</v>
      </c>
      <c r="G904">
        <v>16</v>
      </c>
      <c r="H904">
        <v>41</v>
      </c>
      <c r="I904">
        <v>21011.5</v>
      </c>
      <c r="J904">
        <v>856.09</v>
      </c>
      <c r="K904">
        <v>0</v>
      </c>
      <c r="L904">
        <v>2024</v>
      </c>
    </row>
    <row r="905" spans="1:12" x14ac:dyDescent="0.25">
      <c r="A905" s="1" t="s">
        <v>941</v>
      </c>
      <c r="B905" s="1" t="s">
        <v>14</v>
      </c>
      <c r="C905">
        <v>9</v>
      </c>
      <c r="D905" s="1" t="s">
        <v>912</v>
      </c>
      <c r="E905">
        <v>30853.63</v>
      </c>
      <c r="F905">
        <v>23289.759999999998</v>
      </c>
      <c r="G905">
        <v>40</v>
      </c>
      <c r="H905">
        <v>54</v>
      </c>
      <c r="I905">
        <v>48558.54</v>
      </c>
      <c r="J905">
        <v>0</v>
      </c>
      <c r="K905">
        <v>0</v>
      </c>
      <c r="L905">
        <v>2024</v>
      </c>
    </row>
    <row r="906" spans="1:12" x14ac:dyDescent="0.25">
      <c r="A906" s="1" t="s">
        <v>942</v>
      </c>
      <c r="B906" s="1" t="s">
        <v>14</v>
      </c>
      <c r="C906">
        <v>49</v>
      </c>
      <c r="D906" s="1" t="s">
        <v>912</v>
      </c>
      <c r="E906">
        <v>59602.1</v>
      </c>
      <c r="F906">
        <v>44609.23</v>
      </c>
      <c r="G906">
        <v>20</v>
      </c>
      <c r="H906">
        <v>17</v>
      </c>
      <c r="I906">
        <v>57182.35</v>
      </c>
      <c r="J906">
        <v>0</v>
      </c>
      <c r="K906">
        <v>0</v>
      </c>
      <c r="L906">
        <v>2024</v>
      </c>
    </row>
    <row r="907" spans="1:12" x14ac:dyDescent="0.25">
      <c r="A907" s="1" t="s">
        <v>943</v>
      </c>
      <c r="B907" s="1" t="s">
        <v>12</v>
      </c>
      <c r="C907">
        <v>60</v>
      </c>
      <c r="D907" s="1" t="s">
        <v>912</v>
      </c>
      <c r="E907">
        <v>68904.91</v>
      </c>
      <c r="F907">
        <v>65245.05</v>
      </c>
      <c r="G907">
        <v>14</v>
      </c>
      <c r="H907">
        <v>22</v>
      </c>
      <c r="I907">
        <v>1395.52</v>
      </c>
      <c r="J907">
        <v>1852.37</v>
      </c>
      <c r="K907">
        <v>0</v>
      </c>
      <c r="L907">
        <v>2024</v>
      </c>
    </row>
    <row r="908" spans="1:12" x14ac:dyDescent="0.25">
      <c r="A908" s="1" t="s">
        <v>944</v>
      </c>
      <c r="B908" s="1" t="s">
        <v>15</v>
      </c>
      <c r="C908">
        <v>97</v>
      </c>
      <c r="D908" s="1" t="s">
        <v>912</v>
      </c>
      <c r="E908">
        <v>74868.31</v>
      </c>
      <c r="F908">
        <v>47093.84</v>
      </c>
      <c r="G908">
        <v>25</v>
      </c>
      <c r="H908">
        <v>29</v>
      </c>
      <c r="I908">
        <v>21392.05</v>
      </c>
      <c r="J908">
        <v>7541.8</v>
      </c>
      <c r="K908">
        <v>0</v>
      </c>
      <c r="L908">
        <v>2024</v>
      </c>
    </row>
    <row r="909" spans="1:12" x14ac:dyDescent="0.25">
      <c r="A909" s="1" t="s">
        <v>945</v>
      </c>
      <c r="B909" s="1" t="s">
        <v>12</v>
      </c>
      <c r="C909">
        <v>110</v>
      </c>
      <c r="D909" s="1" t="s">
        <v>912</v>
      </c>
      <c r="E909">
        <v>75196.929999999993</v>
      </c>
      <c r="F909">
        <v>73674.37</v>
      </c>
      <c r="G909">
        <v>49</v>
      </c>
      <c r="H909">
        <v>8</v>
      </c>
      <c r="I909">
        <v>32485.82</v>
      </c>
      <c r="J909">
        <v>768.43</v>
      </c>
      <c r="K909">
        <v>0</v>
      </c>
      <c r="L909">
        <v>2024</v>
      </c>
    </row>
    <row r="910" spans="1:12" x14ac:dyDescent="0.25">
      <c r="A910" s="1" t="s">
        <v>946</v>
      </c>
      <c r="B910" s="1" t="s">
        <v>12</v>
      </c>
      <c r="C910">
        <v>58</v>
      </c>
      <c r="D910" s="1" t="s">
        <v>912</v>
      </c>
      <c r="E910">
        <v>43913.13</v>
      </c>
      <c r="F910">
        <v>31780.33</v>
      </c>
      <c r="G910">
        <v>50</v>
      </c>
      <c r="H910">
        <v>3</v>
      </c>
      <c r="I910">
        <v>10599.57</v>
      </c>
      <c r="J910">
        <v>1217.98</v>
      </c>
      <c r="K910">
        <v>1</v>
      </c>
      <c r="L910">
        <v>2024</v>
      </c>
    </row>
    <row r="911" spans="1:12" x14ac:dyDescent="0.25">
      <c r="A911" s="1" t="s">
        <v>947</v>
      </c>
      <c r="B911" s="1" t="s">
        <v>12</v>
      </c>
      <c r="C911">
        <v>66</v>
      </c>
      <c r="D911" s="1" t="s">
        <v>912</v>
      </c>
      <c r="E911">
        <v>60202.52</v>
      </c>
      <c r="F911">
        <v>59950.1</v>
      </c>
      <c r="G911">
        <v>31</v>
      </c>
      <c r="H911">
        <v>0</v>
      </c>
      <c r="I911">
        <v>26610.7</v>
      </c>
      <c r="J911">
        <v>0</v>
      </c>
      <c r="K911">
        <v>0</v>
      </c>
      <c r="L911">
        <v>2024</v>
      </c>
    </row>
    <row r="912" spans="1:12" x14ac:dyDescent="0.25">
      <c r="A912" s="1" t="s">
        <v>948</v>
      </c>
      <c r="B912" s="1" t="s">
        <v>15</v>
      </c>
      <c r="C912">
        <v>105</v>
      </c>
      <c r="D912" s="1" t="s">
        <v>912</v>
      </c>
      <c r="E912">
        <v>86337.74</v>
      </c>
      <c r="F912">
        <v>54080.91</v>
      </c>
      <c r="G912">
        <v>59</v>
      </c>
      <c r="H912">
        <v>21</v>
      </c>
      <c r="I912">
        <v>62124.31</v>
      </c>
      <c r="J912">
        <v>0</v>
      </c>
      <c r="K912">
        <v>0</v>
      </c>
      <c r="L912">
        <v>2024</v>
      </c>
    </row>
    <row r="913" spans="1:12" x14ac:dyDescent="0.25">
      <c r="A913" s="1" t="s">
        <v>949</v>
      </c>
      <c r="B913" s="1" t="s">
        <v>14</v>
      </c>
      <c r="C913">
        <v>81</v>
      </c>
      <c r="D913" s="1" t="s">
        <v>912</v>
      </c>
      <c r="E913">
        <v>75513.48</v>
      </c>
      <c r="F913">
        <v>59920.06</v>
      </c>
      <c r="G913">
        <v>48</v>
      </c>
      <c r="H913">
        <v>0</v>
      </c>
      <c r="I913">
        <v>6672.76</v>
      </c>
      <c r="J913">
        <v>3674.91</v>
      </c>
      <c r="K913">
        <v>1</v>
      </c>
      <c r="L913">
        <v>2024</v>
      </c>
    </row>
    <row r="914" spans="1:12" x14ac:dyDescent="0.25">
      <c r="A914" s="1" t="s">
        <v>950</v>
      </c>
      <c r="B914" s="1" t="s">
        <v>16</v>
      </c>
      <c r="C914">
        <v>47</v>
      </c>
      <c r="D914" s="1" t="s">
        <v>912</v>
      </c>
      <c r="E914">
        <v>49545.919999999998</v>
      </c>
      <c r="F914">
        <v>51462.75</v>
      </c>
      <c r="G914">
        <v>17</v>
      </c>
      <c r="H914">
        <v>16</v>
      </c>
      <c r="I914">
        <v>42385.26</v>
      </c>
      <c r="J914">
        <v>6949.89</v>
      </c>
      <c r="K914">
        <v>0</v>
      </c>
      <c r="L914">
        <v>2024</v>
      </c>
    </row>
    <row r="915" spans="1:12" x14ac:dyDescent="0.25">
      <c r="A915" s="1" t="s">
        <v>951</v>
      </c>
      <c r="B915" s="1" t="s">
        <v>12</v>
      </c>
      <c r="C915">
        <v>89</v>
      </c>
      <c r="D915" s="1" t="s">
        <v>912</v>
      </c>
      <c r="E915">
        <v>59894.27</v>
      </c>
      <c r="F915">
        <v>52137.46</v>
      </c>
      <c r="G915">
        <v>27</v>
      </c>
      <c r="H915">
        <v>5</v>
      </c>
      <c r="I915">
        <v>11913.13</v>
      </c>
      <c r="J915">
        <v>4897.6899999999996</v>
      </c>
      <c r="K915">
        <v>0</v>
      </c>
      <c r="L915">
        <v>2024</v>
      </c>
    </row>
    <row r="916" spans="1:12" x14ac:dyDescent="0.25">
      <c r="A916" s="1" t="s">
        <v>952</v>
      </c>
      <c r="B916" s="1" t="s">
        <v>12</v>
      </c>
      <c r="C916">
        <v>107</v>
      </c>
      <c r="D916" s="1" t="s">
        <v>912</v>
      </c>
      <c r="E916">
        <v>78351.92</v>
      </c>
      <c r="F916">
        <v>69381.62</v>
      </c>
      <c r="G916">
        <v>34</v>
      </c>
      <c r="H916">
        <v>24</v>
      </c>
      <c r="I916">
        <v>61466.42</v>
      </c>
      <c r="J916">
        <v>1397.45</v>
      </c>
      <c r="K916">
        <v>0</v>
      </c>
      <c r="L916">
        <v>2024</v>
      </c>
    </row>
    <row r="917" spans="1:12" x14ac:dyDescent="0.25">
      <c r="A917" s="1" t="s">
        <v>953</v>
      </c>
      <c r="B917" s="1" t="s">
        <v>15</v>
      </c>
      <c r="C917">
        <v>14</v>
      </c>
      <c r="D917" s="1" t="s">
        <v>912</v>
      </c>
      <c r="E917">
        <v>11308.33</v>
      </c>
      <c r="F917">
        <v>11234.6</v>
      </c>
      <c r="G917">
        <v>49</v>
      </c>
      <c r="H917">
        <v>0</v>
      </c>
      <c r="I917">
        <v>9755.8700000000008</v>
      </c>
      <c r="J917">
        <v>13460.28</v>
      </c>
      <c r="K917">
        <v>0</v>
      </c>
      <c r="L917">
        <v>2024</v>
      </c>
    </row>
    <row r="918" spans="1:12" x14ac:dyDescent="0.25">
      <c r="A918" s="1" t="s">
        <v>954</v>
      </c>
      <c r="B918" s="1" t="s">
        <v>18</v>
      </c>
      <c r="C918">
        <v>93</v>
      </c>
      <c r="D918" s="1" t="s">
        <v>912</v>
      </c>
      <c r="E918">
        <v>80214.67</v>
      </c>
      <c r="F918">
        <v>63722.54</v>
      </c>
      <c r="G918">
        <v>40</v>
      </c>
      <c r="H918">
        <v>31</v>
      </c>
      <c r="I918">
        <v>50323.71</v>
      </c>
      <c r="J918">
        <v>11010.5</v>
      </c>
      <c r="K918">
        <v>0</v>
      </c>
      <c r="L918">
        <v>2024</v>
      </c>
    </row>
    <row r="919" spans="1:12" x14ac:dyDescent="0.25">
      <c r="A919" s="1" t="s">
        <v>955</v>
      </c>
      <c r="B919" s="1" t="s">
        <v>18</v>
      </c>
      <c r="C919">
        <v>67</v>
      </c>
      <c r="D919" s="1" t="s">
        <v>912</v>
      </c>
      <c r="E919">
        <v>59473.18</v>
      </c>
      <c r="F919">
        <v>34612.9</v>
      </c>
      <c r="G919">
        <v>19</v>
      </c>
      <c r="H919">
        <v>0</v>
      </c>
      <c r="I919">
        <v>60993.78</v>
      </c>
      <c r="J919">
        <v>0</v>
      </c>
      <c r="K919">
        <v>0</v>
      </c>
      <c r="L919">
        <v>2024</v>
      </c>
    </row>
    <row r="920" spans="1:12" x14ac:dyDescent="0.25">
      <c r="A920" s="1" t="s">
        <v>956</v>
      </c>
      <c r="B920" s="1" t="s">
        <v>12</v>
      </c>
      <c r="C920">
        <v>81</v>
      </c>
      <c r="D920" s="1" t="s">
        <v>912</v>
      </c>
      <c r="E920">
        <v>88820.1</v>
      </c>
      <c r="F920">
        <v>55248.1</v>
      </c>
      <c r="G920">
        <v>50</v>
      </c>
      <c r="H920">
        <v>25</v>
      </c>
      <c r="I920">
        <v>0</v>
      </c>
      <c r="J920">
        <v>957.64</v>
      </c>
      <c r="K920">
        <v>0</v>
      </c>
      <c r="L920">
        <v>2024</v>
      </c>
    </row>
    <row r="921" spans="1:12" x14ac:dyDescent="0.25">
      <c r="A921" s="1" t="s">
        <v>957</v>
      </c>
      <c r="B921" s="1" t="s">
        <v>16</v>
      </c>
      <c r="C921">
        <v>39</v>
      </c>
      <c r="D921" s="1" t="s">
        <v>912</v>
      </c>
      <c r="E921">
        <v>46953.99</v>
      </c>
      <c r="F921">
        <v>40211.61</v>
      </c>
      <c r="G921">
        <v>56</v>
      </c>
      <c r="H921">
        <v>29</v>
      </c>
      <c r="I921">
        <v>38419.129999999997</v>
      </c>
      <c r="J921">
        <v>3715.79</v>
      </c>
      <c r="K921">
        <v>0</v>
      </c>
      <c r="L921">
        <v>2024</v>
      </c>
    </row>
    <row r="922" spans="1:12" x14ac:dyDescent="0.25">
      <c r="A922" s="1" t="s">
        <v>958</v>
      </c>
      <c r="B922" s="1" t="s">
        <v>12</v>
      </c>
      <c r="C922">
        <v>25</v>
      </c>
      <c r="D922" s="1" t="s">
        <v>912</v>
      </c>
      <c r="E922">
        <v>55880.55</v>
      </c>
      <c r="F922">
        <v>49904.55</v>
      </c>
      <c r="G922">
        <v>63</v>
      </c>
      <c r="H922">
        <v>28</v>
      </c>
      <c r="I922">
        <v>870.79</v>
      </c>
      <c r="J922">
        <v>0</v>
      </c>
      <c r="K922">
        <v>1</v>
      </c>
      <c r="L922">
        <v>2024</v>
      </c>
    </row>
    <row r="923" spans="1:12" x14ac:dyDescent="0.25">
      <c r="A923" s="1" t="s">
        <v>959</v>
      </c>
      <c r="B923" s="1" t="s">
        <v>18</v>
      </c>
      <c r="C923">
        <v>105</v>
      </c>
      <c r="D923" s="1" t="s">
        <v>912</v>
      </c>
      <c r="E923">
        <v>82627.8</v>
      </c>
      <c r="F923">
        <v>68124.27</v>
      </c>
      <c r="G923">
        <v>32</v>
      </c>
      <c r="H923">
        <v>34</v>
      </c>
      <c r="I923">
        <v>61519.9</v>
      </c>
      <c r="J923">
        <v>1576.98</v>
      </c>
      <c r="K923">
        <v>1</v>
      </c>
      <c r="L923">
        <v>2024</v>
      </c>
    </row>
    <row r="924" spans="1:12" x14ac:dyDescent="0.25">
      <c r="A924" s="1" t="s">
        <v>960</v>
      </c>
      <c r="B924" s="1" t="s">
        <v>15</v>
      </c>
      <c r="C924">
        <v>110</v>
      </c>
      <c r="D924" s="1" t="s">
        <v>912</v>
      </c>
      <c r="E924">
        <v>66586.429999999993</v>
      </c>
      <c r="F924">
        <v>57618.15</v>
      </c>
      <c r="G924">
        <v>48</v>
      </c>
      <c r="H924">
        <v>6</v>
      </c>
      <c r="I924">
        <v>32699.27</v>
      </c>
      <c r="J924">
        <v>0</v>
      </c>
      <c r="K924">
        <v>0</v>
      </c>
      <c r="L924">
        <v>2024</v>
      </c>
    </row>
    <row r="925" spans="1:12" x14ac:dyDescent="0.25">
      <c r="A925" s="1" t="s">
        <v>961</v>
      </c>
      <c r="B925" s="1" t="s">
        <v>16</v>
      </c>
      <c r="C925">
        <v>57</v>
      </c>
      <c r="D925" s="1" t="s">
        <v>912</v>
      </c>
      <c r="E925">
        <v>53444.800000000003</v>
      </c>
      <c r="F925">
        <v>48309.02</v>
      </c>
      <c r="G925">
        <v>44</v>
      </c>
      <c r="H925">
        <v>3</v>
      </c>
      <c r="I925">
        <v>42078.17</v>
      </c>
      <c r="J925">
        <v>2775.67</v>
      </c>
      <c r="K925">
        <v>0</v>
      </c>
      <c r="L925">
        <v>2024</v>
      </c>
    </row>
    <row r="926" spans="1:12" x14ac:dyDescent="0.25">
      <c r="A926" s="1" t="s">
        <v>962</v>
      </c>
      <c r="B926" s="1" t="s">
        <v>16</v>
      </c>
      <c r="C926">
        <v>67</v>
      </c>
      <c r="D926" s="1" t="s">
        <v>912</v>
      </c>
      <c r="E926">
        <v>48706.84</v>
      </c>
      <c r="F926">
        <v>29472.31</v>
      </c>
      <c r="G926">
        <v>55</v>
      </c>
      <c r="H926">
        <v>51</v>
      </c>
      <c r="I926">
        <v>28708.28</v>
      </c>
      <c r="J926">
        <v>2134.27</v>
      </c>
      <c r="K926">
        <v>0</v>
      </c>
      <c r="L926">
        <v>2024</v>
      </c>
    </row>
    <row r="927" spans="1:12" x14ac:dyDescent="0.25">
      <c r="A927" s="1" t="s">
        <v>963</v>
      </c>
      <c r="B927" s="1" t="s">
        <v>16</v>
      </c>
      <c r="C927">
        <v>64</v>
      </c>
      <c r="D927" s="1" t="s">
        <v>912</v>
      </c>
      <c r="E927">
        <v>57413.64</v>
      </c>
      <c r="F927">
        <v>59379.97</v>
      </c>
      <c r="G927">
        <v>24</v>
      </c>
      <c r="H927">
        <v>60</v>
      </c>
      <c r="I927">
        <v>0</v>
      </c>
      <c r="J927">
        <v>5838.08</v>
      </c>
      <c r="K927">
        <v>0</v>
      </c>
      <c r="L927">
        <v>2024</v>
      </c>
    </row>
    <row r="928" spans="1:12" x14ac:dyDescent="0.25">
      <c r="A928" s="1" t="s">
        <v>964</v>
      </c>
      <c r="B928" s="1" t="s">
        <v>16</v>
      </c>
      <c r="C928">
        <v>39</v>
      </c>
      <c r="D928" s="1" t="s">
        <v>912</v>
      </c>
      <c r="E928">
        <v>31062.55</v>
      </c>
      <c r="F928">
        <v>28902.57</v>
      </c>
      <c r="G928">
        <v>31</v>
      </c>
      <c r="H928">
        <v>29</v>
      </c>
      <c r="I928">
        <v>52315.57</v>
      </c>
      <c r="J928">
        <v>26.67</v>
      </c>
      <c r="K928">
        <v>0</v>
      </c>
      <c r="L928">
        <v>2024</v>
      </c>
    </row>
    <row r="929" spans="1:12" x14ac:dyDescent="0.25">
      <c r="A929" s="1" t="s">
        <v>965</v>
      </c>
      <c r="B929" s="1" t="s">
        <v>18</v>
      </c>
      <c r="C929">
        <v>62</v>
      </c>
      <c r="D929" s="1" t="s">
        <v>912</v>
      </c>
      <c r="E929">
        <v>63924.1</v>
      </c>
      <c r="F929">
        <v>40050.07</v>
      </c>
      <c r="G929">
        <v>59</v>
      </c>
      <c r="H929">
        <v>47</v>
      </c>
      <c r="I929">
        <v>63241.59</v>
      </c>
      <c r="J929">
        <v>0</v>
      </c>
      <c r="K929">
        <v>0</v>
      </c>
      <c r="L929">
        <v>2024</v>
      </c>
    </row>
    <row r="930" spans="1:12" x14ac:dyDescent="0.25">
      <c r="A930" s="1" t="s">
        <v>966</v>
      </c>
      <c r="B930" s="1" t="s">
        <v>17</v>
      </c>
      <c r="C930">
        <v>92</v>
      </c>
      <c r="D930" s="1" t="s">
        <v>912</v>
      </c>
      <c r="E930">
        <v>74785.02</v>
      </c>
      <c r="F930">
        <v>65876.399999999994</v>
      </c>
      <c r="G930">
        <v>86</v>
      </c>
      <c r="H930">
        <v>55</v>
      </c>
      <c r="I930">
        <v>42276.41</v>
      </c>
      <c r="J930">
        <v>2856.28</v>
      </c>
      <c r="K930">
        <v>0</v>
      </c>
      <c r="L930">
        <v>2024</v>
      </c>
    </row>
    <row r="931" spans="1:12" x14ac:dyDescent="0.25">
      <c r="A931" s="1" t="s">
        <v>967</v>
      </c>
      <c r="B931" s="1" t="s">
        <v>17</v>
      </c>
      <c r="C931">
        <v>49</v>
      </c>
      <c r="D931" s="1" t="s">
        <v>912</v>
      </c>
      <c r="E931">
        <v>53093.4</v>
      </c>
      <c r="F931">
        <v>49449.58</v>
      </c>
      <c r="G931">
        <v>56</v>
      </c>
      <c r="H931">
        <v>22</v>
      </c>
      <c r="I931">
        <v>26283.78</v>
      </c>
      <c r="J931">
        <v>10573.94</v>
      </c>
      <c r="K931">
        <v>0</v>
      </c>
      <c r="L931">
        <v>2024</v>
      </c>
    </row>
    <row r="932" spans="1:12" x14ac:dyDescent="0.25">
      <c r="A932" s="1" t="s">
        <v>968</v>
      </c>
      <c r="B932" s="1" t="s">
        <v>18</v>
      </c>
      <c r="C932">
        <v>118</v>
      </c>
      <c r="D932" s="1" t="s">
        <v>912</v>
      </c>
      <c r="E932">
        <v>103230.51</v>
      </c>
      <c r="F932">
        <v>71640.490000000005</v>
      </c>
      <c r="G932">
        <v>63</v>
      </c>
      <c r="H932">
        <v>24</v>
      </c>
      <c r="I932">
        <v>28550.5</v>
      </c>
      <c r="J932">
        <v>8151.45</v>
      </c>
      <c r="K932">
        <v>0</v>
      </c>
      <c r="L932">
        <v>2024</v>
      </c>
    </row>
    <row r="933" spans="1:12" x14ac:dyDescent="0.25">
      <c r="A933" s="1" t="s">
        <v>969</v>
      </c>
      <c r="B933" s="1" t="s">
        <v>17</v>
      </c>
      <c r="C933">
        <v>50</v>
      </c>
      <c r="D933" s="1" t="s">
        <v>912</v>
      </c>
      <c r="E933">
        <v>58757.63</v>
      </c>
      <c r="F933">
        <v>46294.79</v>
      </c>
      <c r="G933">
        <v>47</v>
      </c>
      <c r="H933">
        <v>19</v>
      </c>
      <c r="I933">
        <v>3723.71</v>
      </c>
      <c r="J933">
        <v>9027.94</v>
      </c>
      <c r="K933">
        <v>0</v>
      </c>
      <c r="L933">
        <v>2024</v>
      </c>
    </row>
    <row r="934" spans="1:12" x14ac:dyDescent="0.25">
      <c r="A934" s="1" t="s">
        <v>970</v>
      </c>
      <c r="B934" s="1" t="s">
        <v>12</v>
      </c>
      <c r="C934">
        <v>89</v>
      </c>
      <c r="D934" s="1" t="s">
        <v>912</v>
      </c>
      <c r="E934">
        <v>79701</v>
      </c>
      <c r="F934">
        <v>77072.17</v>
      </c>
      <c r="G934">
        <v>37</v>
      </c>
      <c r="H934">
        <v>11</v>
      </c>
      <c r="I934">
        <v>22526.2</v>
      </c>
      <c r="J934">
        <v>0</v>
      </c>
      <c r="K934">
        <v>0</v>
      </c>
      <c r="L934">
        <v>2024</v>
      </c>
    </row>
    <row r="935" spans="1:12" x14ac:dyDescent="0.25">
      <c r="A935" s="1" t="s">
        <v>971</v>
      </c>
      <c r="B935" s="1" t="s">
        <v>12</v>
      </c>
      <c r="C935">
        <v>82</v>
      </c>
      <c r="D935" s="1" t="s">
        <v>912</v>
      </c>
      <c r="E935">
        <v>73754.789999999994</v>
      </c>
      <c r="F935">
        <v>57166.22</v>
      </c>
      <c r="G935">
        <v>37</v>
      </c>
      <c r="H935">
        <v>15</v>
      </c>
      <c r="I935">
        <v>31559.4</v>
      </c>
      <c r="J935">
        <v>8794.6299999999992</v>
      </c>
      <c r="K935">
        <v>0</v>
      </c>
      <c r="L935">
        <v>2024</v>
      </c>
    </row>
    <row r="936" spans="1:12" x14ac:dyDescent="0.25">
      <c r="A936" s="1" t="s">
        <v>972</v>
      </c>
      <c r="B936" s="1" t="s">
        <v>17</v>
      </c>
      <c r="C936">
        <v>30</v>
      </c>
      <c r="D936" s="1" t="s">
        <v>912</v>
      </c>
      <c r="E936">
        <v>21866.54</v>
      </c>
      <c r="F936">
        <v>14616.62</v>
      </c>
      <c r="G936">
        <v>25</v>
      </c>
      <c r="H936">
        <v>29</v>
      </c>
      <c r="I936">
        <v>0</v>
      </c>
      <c r="J936">
        <v>7455.62</v>
      </c>
      <c r="K936">
        <v>0</v>
      </c>
      <c r="L936">
        <v>2024</v>
      </c>
    </row>
    <row r="937" spans="1:12" x14ac:dyDescent="0.25">
      <c r="A937" s="1" t="s">
        <v>973</v>
      </c>
      <c r="B937" s="1" t="s">
        <v>16</v>
      </c>
      <c r="C937">
        <v>80</v>
      </c>
      <c r="D937" s="1" t="s">
        <v>912</v>
      </c>
      <c r="E937">
        <v>80768.13</v>
      </c>
      <c r="F937">
        <v>68466.25</v>
      </c>
      <c r="G937">
        <v>71</v>
      </c>
      <c r="H937">
        <v>57</v>
      </c>
      <c r="I937">
        <v>43315.58</v>
      </c>
      <c r="J937">
        <v>4199.74</v>
      </c>
      <c r="K937">
        <v>1</v>
      </c>
      <c r="L937">
        <v>2024</v>
      </c>
    </row>
    <row r="938" spans="1:12" x14ac:dyDescent="0.25">
      <c r="A938" s="1" t="s">
        <v>974</v>
      </c>
      <c r="B938" s="1" t="s">
        <v>12</v>
      </c>
      <c r="C938">
        <v>34</v>
      </c>
      <c r="D938" s="1" t="s">
        <v>912</v>
      </c>
      <c r="E938">
        <v>30800.240000000002</v>
      </c>
      <c r="F938">
        <v>31638.14</v>
      </c>
      <c r="G938">
        <v>47</v>
      </c>
      <c r="H938">
        <v>3</v>
      </c>
      <c r="I938">
        <v>46575.32</v>
      </c>
      <c r="J938">
        <v>1113.98</v>
      </c>
      <c r="K938">
        <v>0</v>
      </c>
      <c r="L938">
        <v>2024</v>
      </c>
    </row>
    <row r="939" spans="1:12" x14ac:dyDescent="0.25">
      <c r="A939" s="1" t="s">
        <v>975</v>
      </c>
      <c r="B939" s="1" t="s">
        <v>18</v>
      </c>
      <c r="C939">
        <v>44</v>
      </c>
      <c r="D939" s="1" t="s">
        <v>912</v>
      </c>
      <c r="E939">
        <v>48891.24</v>
      </c>
      <c r="F939">
        <v>35454.769999999997</v>
      </c>
      <c r="G939">
        <v>55</v>
      </c>
      <c r="H939">
        <v>6</v>
      </c>
      <c r="I939">
        <v>40312.19</v>
      </c>
      <c r="J939">
        <v>448.75</v>
      </c>
      <c r="K939">
        <v>0</v>
      </c>
      <c r="L939">
        <v>2024</v>
      </c>
    </row>
    <row r="940" spans="1:12" x14ac:dyDescent="0.25">
      <c r="A940" s="1" t="s">
        <v>976</v>
      </c>
      <c r="B940" s="1" t="s">
        <v>16</v>
      </c>
      <c r="C940">
        <v>62</v>
      </c>
      <c r="D940" s="1" t="s">
        <v>912</v>
      </c>
      <c r="E940">
        <v>51758.93</v>
      </c>
      <c r="F940">
        <v>36702.42</v>
      </c>
      <c r="G940">
        <v>10</v>
      </c>
      <c r="H940">
        <v>6</v>
      </c>
      <c r="I940">
        <v>22917.07</v>
      </c>
      <c r="J940">
        <v>0</v>
      </c>
      <c r="K940">
        <v>1</v>
      </c>
      <c r="L940">
        <v>2024</v>
      </c>
    </row>
    <row r="941" spans="1:12" x14ac:dyDescent="0.25">
      <c r="A941" s="1" t="s">
        <v>977</v>
      </c>
      <c r="B941" s="1" t="s">
        <v>16</v>
      </c>
      <c r="C941">
        <v>37</v>
      </c>
      <c r="D941" s="1" t="s">
        <v>912</v>
      </c>
      <c r="E941">
        <v>40706.75</v>
      </c>
      <c r="F941">
        <v>40871.449999999997</v>
      </c>
      <c r="G941">
        <v>28</v>
      </c>
      <c r="H941">
        <v>38</v>
      </c>
      <c r="I941">
        <v>72023.67</v>
      </c>
      <c r="J941">
        <v>11573.53</v>
      </c>
      <c r="K941">
        <v>0</v>
      </c>
      <c r="L941">
        <v>2024</v>
      </c>
    </row>
    <row r="942" spans="1:12" x14ac:dyDescent="0.25">
      <c r="A942" s="1" t="s">
        <v>978</v>
      </c>
      <c r="B942" s="1" t="s">
        <v>16</v>
      </c>
      <c r="C942">
        <v>107</v>
      </c>
      <c r="D942" s="1" t="s">
        <v>912</v>
      </c>
      <c r="E942">
        <v>94780.45</v>
      </c>
      <c r="F942">
        <v>58565.95</v>
      </c>
      <c r="G942">
        <v>32</v>
      </c>
      <c r="H942">
        <v>45</v>
      </c>
      <c r="I942">
        <v>16507.22</v>
      </c>
      <c r="J942">
        <v>5798.14</v>
      </c>
      <c r="K942">
        <v>0</v>
      </c>
      <c r="L942">
        <v>2024</v>
      </c>
    </row>
    <row r="943" spans="1:12" x14ac:dyDescent="0.25">
      <c r="A943" s="1" t="s">
        <v>979</v>
      </c>
      <c r="B943" s="1" t="s">
        <v>17</v>
      </c>
      <c r="C943">
        <v>68</v>
      </c>
      <c r="D943" s="1" t="s">
        <v>912</v>
      </c>
      <c r="E943">
        <v>71443.710000000006</v>
      </c>
      <c r="F943">
        <v>76033.289999999994</v>
      </c>
      <c r="G943">
        <v>38</v>
      </c>
      <c r="H943">
        <v>22</v>
      </c>
      <c r="I943">
        <v>47262.400000000001</v>
      </c>
      <c r="J943">
        <v>7921.44</v>
      </c>
      <c r="K943">
        <v>0</v>
      </c>
      <c r="L943">
        <v>2024</v>
      </c>
    </row>
    <row r="944" spans="1:12" x14ac:dyDescent="0.25">
      <c r="A944" s="1" t="s">
        <v>980</v>
      </c>
      <c r="B944" s="1" t="s">
        <v>18</v>
      </c>
      <c r="C944">
        <v>120</v>
      </c>
      <c r="D944" s="1" t="s">
        <v>912</v>
      </c>
      <c r="E944">
        <v>93013.21</v>
      </c>
      <c r="F944">
        <v>72046.02</v>
      </c>
      <c r="G944">
        <v>38</v>
      </c>
      <c r="H944">
        <v>13</v>
      </c>
      <c r="I944">
        <v>38675.58</v>
      </c>
      <c r="J944">
        <v>3360.45</v>
      </c>
      <c r="K944">
        <v>0</v>
      </c>
      <c r="L944">
        <v>2024</v>
      </c>
    </row>
    <row r="945" spans="1:12" x14ac:dyDescent="0.25">
      <c r="A945" s="1" t="s">
        <v>981</v>
      </c>
      <c r="B945" s="1" t="s">
        <v>18</v>
      </c>
      <c r="C945">
        <v>90</v>
      </c>
      <c r="D945" s="1" t="s">
        <v>912</v>
      </c>
      <c r="E945">
        <v>63137.37</v>
      </c>
      <c r="F945">
        <v>51998.45</v>
      </c>
      <c r="G945">
        <v>71</v>
      </c>
      <c r="H945">
        <v>74</v>
      </c>
      <c r="I945">
        <v>18986.13</v>
      </c>
      <c r="J945">
        <v>4963.5600000000004</v>
      </c>
      <c r="K945">
        <v>1</v>
      </c>
      <c r="L945">
        <v>2024</v>
      </c>
    </row>
    <row r="946" spans="1:12" x14ac:dyDescent="0.25">
      <c r="A946" s="1" t="s">
        <v>982</v>
      </c>
      <c r="B946" s="1" t="s">
        <v>16</v>
      </c>
      <c r="C946">
        <v>59</v>
      </c>
      <c r="D946" s="1" t="s">
        <v>912</v>
      </c>
      <c r="E946">
        <v>54973.34</v>
      </c>
      <c r="F946">
        <v>55696.22</v>
      </c>
      <c r="G946">
        <v>48</v>
      </c>
      <c r="H946">
        <v>31</v>
      </c>
      <c r="I946">
        <v>51191.48</v>
      </c>
      <c r="J946">
        <v>4318.34</v>
      </c>
      <c r="K946">
        <v>1</v>
      </c>
      <c r="L946">
        <v>2024</v>
      </c>
    </row>
    <row r="947" spans="1:12" x14ac:dyDescent="0.25">
      <c r="A947" s="1" t="s">
        <v>983</v>
      </c>
      <c r="B947" s="1" t="s">
        <v>17</v>
      </c>
      <c r="C947">
        <v>89</v>
      </c>
      <c r="D947" s="1" t="s">
        <v>912</v>
      </c>
      <c r="E947">
        <v>63562.61</v>
      </c>
      <c r="F947">
        <v>45327.75</v>
      </c>
      <c r="G947">
        <v>21</v>
      </c>
      <c r="H947">
        <v>7</v>
      </c>
      <c r="I947">
        <v>70995.95</v>
      </c>
      <c r="J947">
        <v>1724.64</v>
      </c>
      <c r="K947">
        <v>0</v>
      </c>
      <c r="L947">
        <v>2024</v>
      </c>
    </row>
    <row r="948" spans="1:12" x14ac:dyDescent="0.25">
      <c r="A948" s="1" t="s">
        <v>984</v>
      </c>
      <c r="B948" s="1" t="s">
        <v>15</v>
      </c>
      <c r="C948">
        <v>92</v>
      </c>
      <c r="D948" s="1" t="s">
        <v>912</v>
      </c>
      <c r="E948">
        <v>51545.26</v>
      </c>
      <c r="F948">
        <v>37337.449999999997</v>
      </c>
      <c r="G948">
        <v>62</v>
      </c>
      <c r="H948">
        <v>18</v>
      </c>
      <c r="I948">
        <v>89962.78</v>
      </c>
      <c r="J948">
        <v>10155.959999999999</v>
      </c>
      <c r="K948">
        <v>0</v>
      </c>
      <c r="L948">
        <v>2024</v>
      </c>
    </row>
    <row r="949" spans="1:12" x14ac:dyDescent="0.25">
      <c r="A949" s="1" t="s">
        <v>985</v>
      </c>
      <c r="B949" s="1" t="s">
        <v>12</v>
      </c>
      <c r="C949">
        <v>81</v>
      </c>
      <c r="D949" s="1" t="s">
        <v>912</v>
      </c>
      <c r="E949">
        <v>72385.56</v>
      </c>
      <c r="F949">
        <v>75532.160000000003</v>
      </c>
      <c r="G949">
        <v>52</v>
      </c>
      <c r="H949">
        <v>42</v>
      </c>
      <c r="I949">
        <v>68075.83</v>
      </c>
      <c r="J949">
        <v>3014.76</v>
      </c>
      <c r="K949">
        <v>1</v>
      </c>
      <c r="L949">
        <v>2024</v>
      </c>
    </row>
    <row r="950" spans="1:12" x14ac:dyDescent="0.25">
      <c r="A950" s="1" t="s">
        <v>986</v>
      </c>
      <c r="B950" s="1" t="s">
        <v>14</v>
      </c>
      <c r="C950">
        <v>21</v>
      </c>
      <c r="D950" s="1" t="s">
        <v>912</v>
      </c>
      <c r="E950">
        <v>14508.73</v>
      </c>
      <c r="F950">
        <v>12184.91</v>
      </c>
      <c r="G950">
        <v>21</v>
      </c>
      <c r="H950">
        <v>38</v>
      </c>
      <c r="I950">
        <v>35785.99</v>
      </c>
      <c r="J950">
        <v>4483.8999999999996</v>
      </c>
      <c r="K950">
        <v>0</v>
      </c>
      <c r="L950">
        <v>2024</v>
      </c>
    </row>
    <row r="951" spans="1:12" x14ac:dyDescent="0.25">
      <c r="A951" s="1" t="s">
        <v>987</v>
      </c>
      <c r="B951" s="1" t="s">
        <v>12</v>
      </c>
      <c r="C951">
        <v>11</v>
      </c>
      <c r="D951" s="1" t="s">
        <v>912</v>
      </c>
      <c r="E951">
        <v>21444.55</v>
      </c>
      <c r="F951">
        <v>18853.75</v>
      </c>
      <c r="G951">
        <v>21</v>
      </c>
      <c r="H951">
        <v>42</v>
      </c>
      <c r="I951">
        <v>59244.160000000003</v>
      </c>
      <c r="J951">
        <v>3841.66</v>
      </c>
      <c r="K951">
        <v>0</v>
      </c>
      <c r="L951">
        <v>2024</v>
      </c>
    </row>
    <row r="952" spans="1:12" x14ac:dyDescent="0.25">
      <c r="A952" s="1" t="s">
        <v>988</v>
      </c>
      <c r="B952" s="1" t="s">
        <v>15</v>
      </c>
      <c r="C952">
        <v>62</v>
      </c>
      <c r="D952" s="1" t="s">
        <v>912</v>
      </c>
      <c r="E952">
        <v>56288.800000000003</v>
      </c>
      <c r="F952">
        <v>57971.95</v>
      </c>
      <c r="G952">
        <v>52</v>
      </c>
      <c r="H952">
        <v>0</v>
      </c>
      <c r="I952">
        <v>28658.12</v>
      </c>
      <c r="J952">
        <v>9261.32</v>
      </c>
      <c r="K952">
        <v>0</v>
      </c>
      <c r="L952">
        <v>2024</v>
      </c>
    </row>
    <row r="953" spans="1:12" x14ac:dyDescent="0.25">
      <c r="A953" s="1" t="s">
        <v>989</v>
      </c>
      <c r="B953" s="1" t="s">
        <v>12</v>
      </c>
      <c r="C953">
        <v>45</v>
      </c>
      <c r="D953" s="1" t="s">
        <v>912</v>
      </c>
      <c r="E953">
        <v>35736.550000000003</v>
      </c>
      <c r="F953">
        <v>24905.23</v>
      </c>
      <c r="G953">
        <v>32</v>
      </c>
      <c r="H953">
        <v>36</v>
      </c>
      <c r="I953">
        <v>79820.31</v>
      </c>
      <c r="J953">
        <v>6885.03</v>
      </c>
      <c r="K953">
        <v>0</v>
      </c>
      <c r="L953">
        <v>2024</v>
      </c>
    </row>
    <row r="954" spans="1:12" x14ac:dyDescent="0.25">
      <c r="A954" s="1" t="s">
        <v>990</v>
      </c>
      <c r="B954" s="1" t="s">
        <v>18</v>
      </c>
      <c r="C954">
        <v>22</v>
      </c>
      <c r="D954" s="1" t="s">
        <v>912</v>
      </c>
      <c r="E954">
        <v>36270.68</v>
      </c>
      <c r="F954">
        <v>23095.98</v>
      </c>
      <c r="G954">
        <v>18</v>
      </c>
      <c r="H954">
        <v>1</v>
      </c>
      <c r="I954">
        <v>17698.61</v>
      </c>
      <c r="J954">
        <v>8464.0300000000007</v>
      </c>
      <c r="K954">
        <v>0</v>
      </c>
      <c r="L954">
        <v>2024</v>
      </c>
    </row>
    <row r="955" spans="1:12" x14ac:dyDescent="0.25">
      <c r="A955" s="1" t="s">
        <v>991</v>
      </c>
      <c r="B955" s="1" t="s">
        <v>18</v>
      </c>
      <c r="C955">
        <v>86</v>
      </c>
      <c r="D955" s="1" t="s">
        <v>912</v>
      </c>
      <c r="E955">
        <v>85499.23</v>
      </c>
      <c r="F955">
        <v>67452.03</v>
      </c>
      <c r="G955">
        <v>23</v>
      </c>
      <c r="H955">
        <v>11</v>
      </c>
      <c r="I955">
        <v>0</v>
      </c>
      <c r="J955">
        <v>7844.81</v>
      </c>
      <c r="K955">
        <v>0</v>
      </c>
      <c r="L955">
        <v>2024</v>
      </c>
    </row>
    <row r="956" spans="1:12" x14ac:dyDescent="0.25">
      <c r="A956" s="1" t="s">
        <v>992</v>
      </c>
      <c r="B956" s="1" t="s">
        <v>12</v>
      </c>
      <c r="C956">
        <v>58</v>
      </c>
      <c r="D956" s="1" t="s">
        <v>912</v>
      </c>
      <c r="E956">
        <v>44168.05</v>
      </c>
      <c r="F956">
        <v>36664.9</v>
      </c>
      <c r="G956">
        <v>19</v>
      </c>
      <c r="H956">
        <v>34</v>
      </c>
      <c r="I956">
        <v>21341.54</v>
      </c>
      <c r="J956">
        <v>1817.09</v>
      </c>
      <c r="K956">
        <v>0</v>
      </c>
      <c r="L956">
        <v>2024</v>
      </c>
    </row>
    <row r="957" spans="1:12" x14ac:dyDescent="0.25">
      <c r="A957" s="1" t="s">
        <v>993</v>
      </c>
      <c r="B957" s="1" t="s">
        <v>18</v>
      </c>
      <c r="C957">
        <v>44</v>
      </c>
      <c r="D957" s="1" t="s">
        <v>912</v>
      </c>
      <c r="E957">
        <v>33275.629999999997</v>
      </c>
      <c r="F957">
        <v>34616</v>
      </c>
      <c r="G957">
        <v>15</v>
      </c>
      <c r="H957">
        <v>45</v>
      </c>
      <c r="I957">
        <v>16350.56</v>
      </c>
      <c r="J957">
        <v>0</v>
      </c>
      <c r="K957">
        <v>0</v>
      </c>
      <c r="L957">
        <v>2024</v>
      </c>
    </row>
    <row r="958" spans="1:12" x14ac:dyDescent="0.25">
      <c r="A958" s="1" t="s">
        <v>994</v>
      </c>
      <c r="B958" s="1" t="s">
        <v>12</v>
      </c>
      <c r="C958">
        <v>112</v>
      </c>
      <c r="D958" s="1" t="s">
        <v>912</v>
      </c>
      <c r="E958">
        <v>102638.44</v>
      </c>
      <c r="F958">
        <v>68104.460000000006</v>
      </c>
      <c r="G958">
        <v>37</v>
      </c>
      <c r="H958">
        <v>24</v>
      </c>
      <c r="I958">
        <v>31160.39</v>
      </c>
      <c r="J958">
        <v>10297.94</v>
      </c>
      <c r="K958">
        <v>0</v>
      </c>
      <c r="L958">
        <v>2024</v>
      </c>
    </row>
    <row r="959" spans="1:12" x14ac:dyDescent="0.25">
      <c r="A959" s="1" t="s">
        <v>995</v>
      </c>
      <c r="B959" s="1" t="s">
        <v>16</v>
      </c>
      <c r="C959">
        <v>91</v>
      </c>
      <c r="D959" s="1" t="s">
        <v>912</v>
      </c>
      <c r="E959">
        <v>57597.11</v>
      </c>
      <c r="F959">
        <v>52067.040000000001</v>
      </c>
      <c r="G959">
        <v>42</v>
      </c>
      <c r="H959">
        <v>49</v>
      </c>
      <c r="I959">
        <v>40470.22</v>
      </c>
      <c r="J959">
        <v>3876.43</v>
      </c>
      <c r="K959">
        <v>0</v>
      </c>
      <c r="L959">
        <v>2024</v>
      </c>
    </row>
    <row r="960" spans="1:12" x14ac:dyDescent="0.25">
      <c r="A960" s="1" t="s">
        <v>996</v>
      </c>
      <c r="B960" s="1" t="s">
        <v>18</v>
      </c>
      <c r="C960">
        <v>26</v>
      </c>
      <c r="D960" s="1" t="s">
        <v>912</v>
      </c>
      <c r="E960">
        <v>43207.56</v>
      </c>
      <c r="F960">
        <v>40434.58</v>
      </c>
      <c r="G960">
        <v>28</v>
      </c>
      <c r="H960">
        <v>37</v>
      </c>
      <c r="I960">
        <v>31229.24</v>
      </c>
      <c r="J960">
        <v>1079.5</v>
      </c>
      <c r="K960">
        <v>0</v>
      </c>
      <c r="L960">
        <v>2024</v>
      </c>
    </row>
    <row r="961" spans="1:12" x14ac:dyDescent="0.25">
      <c r="A961" s="1" t="s">
        <v>997</v>
      </c>
      <c r="B961" s="1" t="s">
        <v>12</v>
      </c>
      <c r="C961">
        <v>102</v>
      </c>
      <c r="D961" s="1" t="s">
        <v>912</v>
      </c>
      <c r="E961">
        <v>77615.12</v>
      </c>
      <c r="F961">
        <v>67228.66</v>
      </c>
      <c r="G961">
        <v>25</v>
      </c>
      <c r="H961">
        <v>45</v>
      </c>
      <c r="I961">
        <v>13313.31</v>
      </c>
      <c r="J961">
        <v>3306.88</v>
      </c>
      <c r="K961">
        <v>0</v>
      </c>
      <c r="L961">
        <v>2024</v>
      </c>
    </row>
    <row r="962" spans="1:12" x14ac:dyDescent="0.25">
      <c r="A962" s="1" t="s">
        <v>998</v>
      </c>
      <c r="B962" s="1" t="s">
        <v>14</v>
      </c>
      <c r="C962">
        <v>100</v>
      </c>
      <c r="D962" s="1" t="s">
        <v>912</v>
      </c>
      <c r="E962">
        <v>74851.34</v>
      </c>
      <c r="F962">
        <v>68514.539999999994</v>
      </c>
      <c r="G962">
        <v>74</v>
      </c>
      <c r="H962">
        <v>39</v>
      </c>
      <c r="I962">
        <v>49458.81</v>
      </c>
      <c r="J962">
        <v>0</v>
      </c>
      <c r="K962">
        <v>0</v>
      </c>
      <c r="L962">
        <v>2024</v>
      </c>
    </row>
    <row r="963" spans="1:12" x14ac:dyDescent="0.25">
      <c r="A963" s="1" t="s">
        <v>999</v>
      </c>
      <c r="B963" s="1" t="s">
        <v>16</v>
      </c>
      <c r="C963">
        <v>108</v>
      </c>
      <c r="D963" s="1" t="s">
        <v>912</v>
      </c>
      <c r="E963">
        <v>84972.05</v>
      </c>
      <c r="F963">
        <v>87962.21</v>
      </c>
      <c r="G963">
        <v>61</v>
      </c>
      <c r="H963">
        <v>38</v>
      </c>
      <c r="I963">
        <v>5265.69</v>
      </c>
      <c r="J963">
        <v>12872.51</v>
      </c>
      <c r="K963">
        <v>1</v>
      </c>
      <c r="L963">
        <v>2024</v>
      </c>
    </row>
    <row r="964" spans="1:12" x14ac:dyDescent="0.25">
      <c r="A964" s="1" t="s">
        <v>1000</v>
      </c>
      <c r="B964" s="1" t="s">
        <v>16</v>
      </c>
      <c r="C964">
        <v>80</v>
      </c>
      <c r="D964" s="1" t="s">
        <v>912</v>
      </c>
      <c r="E964">
        <v>48602.46</v>
      </c>
      <c r="F964">
        <v>39183.1</v>
      </c>
      <c r="G964">
        <v>40</v>
      </c>
      <c r="H964">
        <v>32</v>
      </c>
      <c r="I964">
        <v>28248.34</v>
      </c>
      <c r="J964">
        <v>7252.18</v>
      </c>
      <c r="K964">
        <v>0</v>
      </c>
      <c r="L964">
        <v>2024</v>
      </c>
    </row>
    <row r="965" spans="1:12" x14ac:dyDescent="0.25">
      <c r="A965" s="1" t="s">
        <v>1001</v>
      </c>
      <c r="B965" s="1" t="s">
        <v>17</v>
      </c>
      <c r="C965">
        <v>62</v>
      </c>
      <c r="D965" s="1" t="s">
        <v>912</v>
      </c>
      <c r="E965">
        <v>44330.59</v>
      </c>
      <c r="F965">
        <v>42435.519999999997</v>
      </c>
      <c r="G965">
        <v>50</v>
      </c>
      <c r="H965">
        <v>19</v>
      </c>
      <c r="I965">
        <v>51833.85</v>
      </c>
      <c r="J965">
        <v>3393.28</v>
      </c>
      <c r="K965">
        <v>0</v>
      </c>
      <c r="L965">
        <v>2024</v>
      </c>
    </row>
    <row r="966" spans="1:12" x14ac:dyDescent="0.25">
      <c r="A966" s="1" t="s">
        <v>1002</v>
      </c>
      <c r="B966" s="1" t="s">
        <v>14</v>
      </c>
      <c r="C966">
        <v>46</v>
      </c>
      <c r="D966" s="1" t="s">
        <v>912</v>
      </c>
      <c r="E966">
        <v>59629.4</v>
      </c>
      <c r="F966">
        <v>55085.35</v>
      </c>
      <c r="G966">
        <v>53</v>
      </c>
      <c r="H966">
        <v>32</v>
      </c>
      <c r="I966">
        <v>33174.449999999997</v>
      </c>
      <c r="J966">
        <v>9202.7000000000007</v>
      </c>
      <c r="K966">
        <v>1</v>
      </c>
      <c r="L966">
        <v>2024</v>
      </c>
    </row>
    <row r="967" spans="1:12" x14ac:dyDescent="0.25">
      <c r="A967" s="1" t="s">
        <v>1003</v>
      </c>
      <c r="B967" s="1" t="s">
        <v>12</v>
      </c>
      <c r="C967">
        <v>112</v>
      </c>
      <c r="D967" s="1" t="s">
        <v>912</v>
      </c>
      <c r="E967">
        <v>93966.33</v>
      </c>
      <c r="F967">
        <v>75593.460000000006</v>
      </c>
      <c r="G967">
        <v>26</v>
      </c>
      <c r="H967">
        <v>28</v>
      </c>
      <c r="I967">
        <v>0</v>
      </c>
      <c r="J967">
        <v>8416.8799999999992</v>
      </c>
      <c r="K967">
        <v>0</v>
      </c>
      <c r="L967">
        <v>2024</v>
      </c>
    </row>
    <row r="968" spans="1:12" x14ac:dyDescent="0.25">
      <c r="A968" s="1" t="s">
        <v>1004</v>
      </c>
      <c r="B968" s="1" t="s">
        <v>17</v>
      </c>
      <c r="C968">
        <v>7</v>
      </c>
      <c r="D968" s="1" t="s">
        <v>912</v>
      </c>
      <c r="E968">
        <v>6089.79</v>
      </c>
      <c r="F968">
        <v>4197.0200000000004</v>
      </c>
      <c r="G968">
        <v>38</v>
      </c>
      <c r="H968">
        <v>63</v>
      </c>
      <c r="I968">
        <v>29812.11</v>
      </c>
      <c r="J968">
        <v>4106.97</v>
      </c>
      <c r="K968">
        <v>1</v>
      </c>
      <c r="L968">
        <v>2024</v>
      </c>
    </row>
    <row r="969" spans="1:12" x14ac:dyDescent="0.25">
      <c r="A969" s="1" t="s">
        <v>1005</v>
      </c>
      <c r="B969" s="1" t="s">
        <v>14</v>
      </c>
      <c r="C969">
        <v>24</v>
      </c>
      <c r="D969" s="1" t="s">
        <v>912</v>
      </c>
      <c r="E969">
        <v>24870.799999999999</v>
      </c>
      <c r="F969">
        <v>22235.37</v>
      </c>
      <c r="G969">
        <v>32</v>
      </c>
      <c r="H969">
        <v>56</v>
      </c>
      <c r="I969">
        <v>66424.31</v>
      </c>
      <c r="J969">
        <v>12370.92</v>
      </c>
      <c r="K969">
        <v>0</v>
      </c>
      <c r="L969">
        <v>2024</v>
      </c>
    </row>
    <row r="970" spans="1:12" x14ac:dyDescent="0.25">
      <c r="A970" s="1" t="s">
        <v>1006</v>
      </c>
      <c r="B970" s="1" t="s">
        <v>12</v>
      </c>
      <c r="C970">
        <v>113</v>
      </c>
      <c r="D970" s="1" t="s">
        <v>912</v>
      </c>
      <c r="E970">
        <v>110244.81</v>
      </c>
      <c r="F970">
        <v>94992.29</v>
      </c>
      <c r="G970">
        <v>10</v>
      </c>
      <c r="H970">
        <v>35</v>
      </c>
      <c r="I970">
        <v>26453.01</v>
      </c>
      <c r="J970">
        <v>648.88</v>
      </c>
      <c r="K970">
        <v>0</v>
      </c>
      <c r="L970">
        <v>2024</v>
      </c>
    </row>
    <row r="971" spans="1:12" x14ac:dyDescent="0.25">
      <c r="A971" s="1" t="s">
        <v>1007</v>
      </c>
      <c r="B971" s="1" t="s">
        <v>18</v>
      </c>
      <c r="C971">
        <v>25</v>
      </c>
      <c r="D971" s="1" t="s">
        <v>912</v>
      </c>
      <c r="E971">
        <v>30896.01</v>
      </c>
      <c r="F971">
        <v>25752.95</v>
      </c>
      <c r="G971">
        <v>20</v>
      </c>
      <c r="H971">
        <v>67</v>
      </c>
      <c r="I971">
        <v>50066.41</v>
      </c>
      <c r="J971">
        <v>0</v>
      </c>
      <c r="K971">
        <v>0</v>
      </c>
      <c r="L971">
        <v>2024</v>
      </c>
    </row>
    <row r="972" spans="1:12" x14ac:dyDescent="0.25">
      <c r="A972" s="1" t="s">
        <v>30</v>
      </c>
      <c r="B972" s="1" t="s">
        <v>14</v>
      </c>
      <c r="C972">
        <v>119</v>
      </c>
      <c r="D972" s="1" t="s">
        <v>13</v>
      </c>
      <c r="E972">
        <v>89116.46</v>
      </c>
      <c r="F972">
        <v>67274.679999999993</v>
      </c>
      <c r="G972">
        <v>47</v>
      </c>
      <c r="H972">
        <v>7</v>
      </c>
      <c r="I972">
        <v>45272.6</v>
      </c>
      <c r="J972">
        <v>0</v>
      </c>
      <c r="K972">
        <v>0</v>
      </c>
      <c r="L972">
        <v>2025</v>
      </c>
    </row>
    <row r="973" spans="1:12" x14ac:dyDescent="0.25">
      <c r="A973" s="1" t="s">
        <v>1008</v>
      </c>
      <c r="B973" s="1" t="s">
        <v>17</v>
      </c>
      <c r="C973">
        <v>47</v>
      </c>
      <c r="D973" s="1" t="s">
        <v>13</v>
      </c>
      <c r="E973">
        <v>49613.52</v>
      </c>
      <c r="F973">
        <v>37606.269999999997</v>
      </c>
      <c r="G973">
        <v>22</v>
      </c>
      <c r="H973">
        <v>38</v>
      </c>
      <c r="I973">
        <v>19271.03</v>
      </c>
      <c r="J973">
        <v>2693.28</v>
      </c>
      <c r="K973">
        <v>0</v>
      </c>
      <c r="L973">
        <v>2025</v>
      </c>
    </row>
    <row r="974" spans="1:12" x14ac:dyDescent="0.25">
      <c r="A974" s="1" t="s">
        <v>1009</v>
      </c>
      <c r="B974" s="1" t="s">
        <v>16</v>
      </c>
      <c r="C974">
        <v>23</v>
      </c>
      <c r="D974" s="1" t="s">
        <v>13</v>
      </c>
      <c r="E974">
        <v>35808.47</v>
      </c>
      <c r="F974">
        <v>38217.78</v>
      </c>
      <c r="G974">
        <v>44</v>
      </c>
      <c r="H974">
        <v>34</v>
      </c>
      <c r="I974">
        <v>30472.639999999999</v>
      </c>
      <c r="J974">
        <v>0</v>
      </c>
      <c r="K974">
        <v>0</v>
      </c>
      <c r="L974">
        <v>2025</v>
      </c>
    </row>
    <row r="975" spans="1:12" x14ac:dyDescent="0.25">
      <c r="A975" s="1" t="s">
        <v>1010</v>
      </c>
      <c r="B975" s="1" t="s">
        <v>17</v>
      </c>
      <c r="C975">
        <v>120</v>
      </c>
      <c r="D975" s="1" t="s">
        <v>13</v>
      </c>
      <c r="E975">
        <v>104245.35</v>
      </c>
      <c r="F975">
        <v>88557.84</v>
      </c>
      <c r="G975">
        <v>31</v>
      </c>
      <c r="H975">
        <v>0</v>
      </c>
      <c r="I975">
        <v>56055.69</v>
      </c>
      <c r="J975">
        <v>0</v>
      </c>
      <c r="K975">
        <v>0</v>
      </c>
      <c r="L975">
        <v>2025</v>
      </c>
    </row>
    <row r="976" spans="1:12" x14ac:dyDescent="0.25">
      <c r="A976" s="1" t="s">
        <v>1011</v>
      </c>
      <c r="B976" s="1" t="s">
        <v>15</v>
      </c>
      <c r="C976">
        <v>64</v>
      </c>
      <c r="D976" s="1" t="s">
        <v>13</v>
      </c>
      <c r="E976">
        <v>33995.26</v>
      </c>
      <c r="F976">
        <v>21800.97</v>
      </c>
      <c r="G976">
        <v>34</v>
      </c>
      <c r="H976">
        <v>31</v>
      </c>
      <c r="I976">
        <v>10499.99</v>
      </c>
      <c r="J976">
        <v>281.81</v>
      </c>
      <c r="K976">
        <v>0</v>
      </c>
      <c r="L976">
        <v>2025</v>
      </c>
    </row>
    <row r="977" spans="1:12" x14ac:dyDescent="0.25">
      <c r="A977" s="1" t="s">
        <v>1012</v>
      </c>
      <c r="B977" s="1" t="s">
        <v>18</v>
      </c>
      <c r="C977">
        <v>61</v>
      </c>
      <c r="D977" s="1" t="s">
        <v>13</v>
      </c>
      <c r="E977">
        <v>46359.51</v>
      </c>
      <c r="F977">
        <v>43473</v>
      </c>
      <c r="G977">
        <v>47</v>
      </c>
      <c r="H977">
        <v>17</v>
      </c>
      <c r="I977">
        <v>9116.6200000000008</v>
      </c>
      <c r="J977">
        <v>0</v>
      </c>
      <c r="K977">
        <v>0</v>
      </c>
      <c r="L977">
        <v>2025</v>
      </c>
    </row>
    <row r="978" spans="1:12" x14ac:dyDescent="0.25">
      <c r="A978" s="1" t="s">
        <v>1013</v>
      </c>
      <c r="B978" s="1" t="s">
        <v>16</v>
      </c>
      <c r="C978">
        <v>19</v>
      </c>
      <c r="D978" s="1" t="s">
        <v>13</v>
      </c>
      <c r="E978">
        <v>26688.42</v>
      </c>
      <c r="F978">
        <v>16329.05</v>
      </c>
      <c r="G978">
        <v>57</v>
      </c>
      <c r="H978">
        <v>11</v>
      </c>
      <c r="I978">
        <v>38025.19</v>
      </c>
      <c r="J978">
        <v>8432.41</v>
      </c>
      <c r="K978">
        <v>0</v>
      </c>
      <c r="L978">
        <v>2025</v>
      </c>
    </row>
    <row r="979" spans="1:12" x14ac:dyDescent="0.25">
      <c r="A979" s="1" t="s">
        <v>1014</v>
      </c>
      <c r="B979" s="1" t="s">
        <v>14</v>
      </c>
      <c r="C979">
        <v>47</v>
      </c>
      <c r="D979" s="1" t="s">
        <v>13</v>
      </c>
      <c r="E979">
        <v>30631.02</v>
      </c>
      <c r="F979">
        <v>30823.55</v>
      </c>
      <c r="G979">
        <v>18</v>
      </c>
      <c r="H979">
        <v>10</v>
      </c>
      <c r="I979">
        <v>5880.6</v>
      </c>
      <c r="J979">
        <v>0</v>
      </c>
      <c r="K979">
        <v>0</v>
      </c>
      <c r="L979">
        <v>2025</v>
      </c>
    </row>
    <row r="980" spans="1:12" x14ac:dyDescent="0.25">
      <c r="A980" s="1" t="s">
        <v>1015</v>
      </c>
      <c r="B980" s="1" t="s">
        <v>18</v>
      </c>
      <c r="C980">
        <v>17</v>
      </c>
      <c r="D980" s="1" t="s">
        <v>13</v>
      </c>
      <c r="E980">
        <v>9531.64</v>
      </c>
      <c r="F980">
        <v>5562.94</v>
      </c>
      <c r="G980">
        <v>44</v>
      </c>
      <c r="H980">
        <v>0</v>
      </c>
      <c r="I980">
        <v>5859.27</v>
      </c>
      <c r="J980">
        <v>333.11</v>
      </c>
      <c r="K980">
        <v>0</v>
      </c>
      <c r="L980">
        <v>2025</v>
      </c>
    </row>
    <row r="981" spans="1:12" x14ac:dyDescent="0.25">
      <c r="A981" s="1" t="s">
        <v>1016</v>
      </c>
      <c r="B981" s="1" t="s">
        <v>18</v>
      </c>
      <c r="C981">
        <v>85</v>
      </c>
      <c r="D981" s="1" t="s">
        <v>13</v>
      </c>
      <c r="E981">
        <v>74697.429999999993</v>
      </c>
      <c r="F981">
        <v>58174</v>
      </c>
      <c r="G981">
        <v>34</v>
      </c>
      <c r="H981">
        <v>38</v>
      </c>
      <c r="I981">
        <v>30591.49</v>
      </c>
      <c r="J981">
        <v>4997.5600000000004</v>
      </c>
      <c r="K981">
        <v>0</v>
      </c>
      <c r="L981">
        <v>2025</v>
      </c>
    </row>
    <row r="982" spans="1:12" x14ac:dyDescent="0.25">
      <c r="A982" s="1" t="s">
        <v>1017</v>
      </c>
      <c r="B982" s="1" t="s">
        <v>16</v>
      </c>
      <c r="C982">
        <v>58</v>
      </c>
      <c r="D982" s="1" t="s">
        <v>13</v>
      </c>
      <c r="E982">
        <v>45651.82</v>
      </c>
      <c r="F982">
        <v>36420.720000000001</v>
      </c>
      <c r="G982">
        <v>46</v>
      </c>
      <c r="H982">
        <v>5</v>
      </c>
      <c r="I982">
        <v>70624.2</v>
      </c>
      <c r="J982">
        <v>0</v>
      </c>
      <c r="K982">
        <v>0</v>
      </c>
      <c r="L982">
        <v>2025</v>
      </c>
    </row>
    <row r="983" spans="1:12" x14ac:dyDescent="0.25">
      <c r="A983" s="1" t="s">
        <v>1018</v>
      </c>
      <c r="B983" s="1" t="s">
        <v>14</v>
      </c>
      <c r="C983">
        <v>29</v>
      </c>
      <c r="D983" s="1" t="s">
        <v>13</v>
      </c>
      <c r="E983">
        <v>38034.949999999997</v>
      </c>
      <c r="F983">
        <v>36800.58</v>
      </c>
      <c r="G983">
        <v>79</v>
      </c>
      <c r="H983">
        <v>72</v>
      </c>
      <c r="I983">
        <v>0</v>
      </c>
      <c r="J983">
        <v>2707.06</v>
      </c>
      <c r="K983">
        <v>0</v>
      </c>
      <c r="L983">
        <v>2025</v>
      </c>
    </row>
    <row r="984" spans="1:12" x14ac:dyDescent="0.25">
      <c r="A984" s="1" t="s">
        <v>1019</v>
      </c>
      <c r="B984" s="1" t="s">
        <v>16</v>
      </c>
      <c r="C984">
        <v>93</v>
      </c>
      <c r="D984" s="1" t="s">
        <v>13</v>
      </c>
      <c r="E984">
        <v>86622.05</v>
      </c>
      <c r="F984">
        <v>60192.88</v>
      </c>
      <c r="G984">
        <v>24</v>
      </c>
      <c r="H984">
        <v>15</v>
      </c>
      <c r="I984">
        <v>36990.14</v>
      </c>
      <c r="J984">
        <v>3617.3</v>
      </c>
      <c r="K984">
        <v>0</v>
      </c>
      <c r="L984">
        <v>2025</v>
      </c>
    </row>
    <row r="985" spans="1:12" x14ac:dyDescent="0.25">
      <c r="A985" s="1" t="s">
        <v>1020</v>
      </c>
      <c r="B985" s="1" t="s">
        <v>14</v>
      </c>
      <c r="C985">
        <v>98</v>
      </c>
      <c r="D985" s="1" t="s">
        <v>13</v>
      </c>
      <c r="E985">
        <v>79760.78</v>
      </c>
      <c r="F985">
        <v>51182.73</v>
      </c>
      <c r="G985">
        <v>47</v>
      </c>
      <c r="H985">
        <v>22</v>
      </c>
      <c r="I985">
        <v>19730.560000000001</v>
      </c>
      <c r="J985">
        <v>19664.95</v>
      </c>
      <c r="K985">
        <v>0</v>
      </c>
      <c r="L985">
        <v>2025</v>
      </c>
    </row>
    <row r="986" spans="1:12" x14ac:dyDescent="0.25">
      <c r="A986" s="1" t="s">
        <v>1021</v>
      </c>
      <c r="B986" s="1" t="s">
        <v>18</v>
      </c>
      <c r="C986">
        <v>95</v>
      </c>
      <c r="D986" s="1" t="s">
        <v>13</v>
      </c>
      <c r="E986">
        <v>78194.679999999993</v>
      </c>
      <c r="F986">
        <v>70413.09</v>
      </c>
      <c r="G986">
        <v>10</v>
      </c>
      <c r="H986">
        <v>5</v>
      </c>
      <c r="I986">
        <v>33060.49</v>
      </c>
      <c r="J986">
        <v>5089.79</v>
      </c>
      <c r="K986">
        <v>0</v>
      </c>
      <c r="L986">
        <v>2025</v>
      </c>
    </row>
    <row r="987" spans="1:12" x14ac:dyDescent="0.25">
      <c r="A987" s="1" t="s">
        <v>1022</v>
      </c>
      <c r="B987" s="1" t="s">
        <v>15</v>
      </c>
      <c r="C987">
        <v>76</v>
      </c>
      <c r="D987" s="1" t="s">
        <v>13</v>
      </c>
      <c r="E987">
        <v>68340.240000000005</v>
      </c>
      <c r="F987">
        <v>64946.25</v>
      </c>
      <c r="G987">
        <v>59</v>
      </c>
      <c r="H987">
        <v>5</v>
      </c>
      <c r="I987">
        <v>36232.67</v>
      </c>
      <c r="J987">
        <v>7114.33</v>
      </c>
      <c r="K987">
        <v>0</v>
      </c>
      <c r="L987">
        <v>2025</v>
      </c>
    </row>
    <row r="988" spans="1:12" x14ac:dyDescent="0.25">
      <c r="A988" s="1" t="s">
        <v>1023</v>
      </c>
      <c r="B988" s="1" t="s">
        <v>14</v>
      </c>
      <c r="C988">
        <v>86</v>
      </c>
      <c r="D988" s="1" t="s">
        <v>13</v>
      </c>
      <c r="E988">
        <v>82767.87</v>
      </c>
      <c r="F988">
        <v>55498.77</v>
      </c>
      <c r="G988">
        <v>37</v>
      </c>
      <c r="H988">
        <v>21</v>
      </c>
      <c r="I988">
        <v>38872.04</v>
      </c>
      <c r="J988">
        <v>0</v>
      </c>
      <c r="K988">
        <v>0</v>
      </c>
      <c r="L988">
        <v>2025</v>
      </c>
    </row>
    <row r="989" spans="1:12" x14ac:dyDescent="0.25">
      <c r="A989" s="1" t="s">
        <v>1024</v>
      </c>
      <c r="B989" s="1" t="s">
        <v>18</v>
      </c>
      <c r="C989">
        <v>62</v>
      </c>
      <c r="D989" s="1" t="s">
        <v>13</v>
      </c>
      <c r="E989">
        <v>73992.240000000005</v>
      </c>
      <c r="F989">
        <v>45104.87</v>
      </c>
      <c r="G989">
        <v>41</v>
      </c>
      <c r="H989">
        <v>44</v>
      </c>
      <c r="I989">
        <v>38260.1</v>
      </c>
      <c r="J989">
        <v>0</v>
      </c>
      <c r="K989">
        <v>0</v>
      </c>
      <c r="L989">
        <v>2025</v>
      </c>
    </row>
    <row r="990" spans="1:12" x14ac:dyDescent="0.25">
      <c r="A990" s="1" t="s">
        <v>1025</v>
      </c>
      <c r="B990" s="1" t="s">
        <v>15</v>
      </c>
      <c r="C990">
        <v>101</v>
      </c>
      <c r="D990" s="1" t="s">
        <v>13</v>
      </c>
      <c r="E990">
        <v>93287.02</v>
      </c>
      <c r="F990">
        <v>69310.649999999994</v>
      </c>
      <c r="G990">
        <v>37</v>
      </c>
      <c r="H990">
        <v>26</v>
      </c>
      <c r="I990">
        <v>55777.66</v>
      </c>
      <c r="J990">
        <v>7242.11</v>
      </c>
      <c r="K990">
        <v>0</v>
      </c>
      <c r="L990">
        <v>2025</v>
      </c>
    </row>
    <row r="991" spans="1:12" x14ac:dyDescent="0.25">
      <c r="A991" s="1" t="s">
        <v>1026</v>
      </c>
      <c r="B991" s="1" t="s">
        <v>16</v>
      </c>
      <c r="C991">
        <v>25</v>
      </c>
      <c r="D991" s="1" t="s">
        <v>13</v>
      </c>
      <c r="E991">
        <v>38282.800000000003</v>
      </c>
      <c r="F991">
        <v>27759.34</v>
      </c>
      <c r="G991">
        <v>49</v>
      </c>
      <c r="H991">
        <v>19</v>
      </c>
      <c r="I991">
        <v>44327.45</v>
      </c>
      <c r="J991">
        <v>6950.74</v>
      </c>
      <c r="K991">
        <v>0</v>
      </c>
      <c r="L991">
        <v>2025</v>
      </c>
    </row>
    <row r="992" spans="1:12" x14ac:dyDescent="0.25">
      <c r="A992" s="1" t="s">
        <v>1027</v>
      </c>
      <c r="B992" s="1" t="s">
        <v>15</v>
      </c>
      <c r="C992">
        <v>32</v>
      </c>
      <c r="D992" s="1" t="s">
        <v>13</v>
      </c>
      <c r="E992">
        <v>14642.45</v>
      </c>
      <c r="F992">
        <v>13033.14</v>
      </c>
      <c r="G992">
        <v>21</v>
      </c>
      <c r="H992">
        <v>14</v>
      </c>
      <c r="I992">
        <v>0</v>
      </c>
      <c r="J992">
        <v>4294.34</v>
      </c>
      <c r="K992">
        <v>0</v>
      </c>
      <c r="L992">
        <v>2025</v>
      </c>
    </row>
    <row r="993" spans="1:12" x14ac:dyDescent="0.25">
      <c r="A993" s="1" t="s">
        <v>1028</v>
      </c>
      <c r="B993" s="1" t="s">
        <v>17</v>
      </c>
      <c r="C993">
        <v>17</v>
      </c>
      <c r="D993" s="1" t="s">
        <v>13</v>
      </c>
      <c r="E993">
        <v>23130.25</v>
      </c>
      <c r="F993">
        <v>20825.82</v>
      </c>
      <c r="G993">
        <v>29</v>
      </c>
      <c r="H993">
        <v>14</v>
      </c>
      <c r="I993">
        <v>96360.97</v>
      </c>
      <c r="J993">
        <v>1159.05</v>
      </c>
      <c r="K993">
        <v>0</v>
      </c>
      <c r="L993">
        <v>2025</v>
      </c>
    </row>
    <row r="994" spans="1:12" x14ac:dyDescent="0.25">
      <c r="A994" s="1" t="s">
        <v>1029</v>
      </c>
      <c r="B994" s="1" t="s">
        <v>16</v>
      </c>
      <c r="C994">
        <v>10</v>
      </c>
      <c r="D994" s="1" t="s">
        <v>13</v>
      </c>
      <c r="E994">
        <v>19192.240000000002</v>
      </c>
      <c r="F994">
        <v>13458.57</v>
      </c>
      <c r="G994">
        <v>42</v>
      </c>
      <c r="H994">
        <v>66</v>
      </c>
      <c r="I994">
        <v>24474.29</v>
      </c>
      <c r="J994">
        <v>567.33000000000004</v>
      </c>
      <c r="K994">
        <v>0</v>
      </c>
      <c r="L994">
        <v>2025</v>
      </c>
    </row>
    <row r="995" spans="1:12" x14ac:dyDescent="0.25">
      <c r="A995" s="1" t="s">
        <v>1030</v>
      </c>
      <c r="B995" s="1" t="s">
        <v>18</v>
      </c>
      <c r="C995">
        <v>98</v>
      </c>
      <c r="D995" s="1" t="s">
        <v>13</v>
      </c>
      <c r="E995">
        <v>83141.13</v>
      </c>
      <c r="F995">
        <v>60103</v>
      </c>
      <c r="G995">
        <v>63</v>
      </c>
      <c r="H995">
        <v>3</v>
      </c>
      <c r="I995">
        <v>26956.52</v>
      </c>
      <c r="J995">
        <v>0</v>
      </c>
      <c r="K995">
        <v>0</v>
      </c>
      <c r="L995">
        <v>2025</v>
      </c>
    </row>
    <row r="996" spans="1:12" x14ac:dyDescent="0.25">
      <c r="A996" s="1" t="s">
        <v>1031</v>
      </c>
      <c r="B996" s="1" t="s">
        <v>17</v>
      </c>
      <c r="C996">
        <v>54</v>
      </c>
      <c r="D996" s="1" t="s">
        <v>13</v>
      </c>
      <c r="E996">
        <v>38393.14</v>
      </c>
      <c r="F996">
        <v>32138.799999999999</v>
      </c>
      <c r="G996">
        <v>26</v>
      </c>
      <c r="H996">
        <v>19</v>
      </c>
      <c r="I996">
        <v>58988.19</v>
      </c>
      <c r="J996">
        <v>6519.99</v>
      </c>
      <c r="K996">
        <v>1</v>
      </c>
      <c r="L996">
        <v>2025</v>
      </c>
    </row>
    <row r="997" spans="1:12" x14ac:dyDescent="0.25">
      <c r="A997" s="1" t="s">
        <v>1032</v>
      </c>
      <c r="B997" s="1" t="s">
        <v>18</v>
      </c>
      <c r="C997">
        <v>120</v>
      </c>
      <c r="D997" s="1" t="s">
        <v>13</v>
      </c>
      <c r="E997">
        <v>98582.92</v>
      </c>
      <c r="F997">
        <v>81401.83</v>
      </c>
      <c r="G997">
        <v>40</v>
      </c>
      <c r="H997">
        <v>34</v>
      </c>
      <c r="I997">
        <v>25126.26</v>
      </c>
      <c r="J997">
        <v>7599.47</v>
      </c>
      <c r="K997">
        <v>0</v>
      </c>
      <c r="L997">
        <v>2025</v>
      </c>
    </row>
    <row r="998" spans="1:12" x14ac:dyDescent="0.25">
      <c r="A998" s="1" t="s">
        <v>1033</v>
      </c>
      <c r="B998" s="1" t="s">
        <v>16</v>
      </c>
      <c r="C998">
        <v>20</v>
      </c>
      <c r="D998" s="1" t="s">
        <v>13</v>
      </c>
      <c r="E998">
        <v>44987.19</v>
      </c>
      <c r="F998">
        <v>36444.449999999997</v>
      </c>
      <c r="G998">
        <v>35</v>
      </c>
      <c r="H998">
        <v>32</v>
      </c>
      <c r="I998">
        <v>61365.84</v>
      </c>
      <c r="J998">
        <v>0</v>
      </c>
      <c r="K998">
        <v>0</v>
      </c>
      <c r="L998">
        <v>2025</v>
      </c>
    </row>
    <row r="999" spans="1:12" x14ac:dyDescent="0.25">
      <c r="A999" s="1" t="s">
        <v>1034</v>
      </c>
      <c r="B999" s="1" t="s">
        <v>14</v>
      </c>
      <c r="C999">
        <v>3</v>
      </c>
      <c r="D999" s="1" t="s">
        <v>13</v>
      </c>
      <c r="E999">
        <v>18081.91</v>
      </c>
      <c r="F999">
        <v>16160.18</v>
      </c>
      <c r="G999">
        <v>57</v>
      </c>
      <c r="H999">
        <v>12</v>
      </c>
      <c r="I999">
        <v>57376.63</v>
      </c>
      <c r="J999">
        <v>12047.4</v>
      </c>
      <c r="K999">
        <v>0</v>
      </c>
      <c r="L999">
        <v>2025</v>
      </c>
    </row>
    <row r="1000" spans="1:12" x14ac:dyDescent="0.25">
      <c r="A1000" s="1" t="s">
        <v>1035</v>
      </c>
      <c r="B1000" s="1" t="s">
        <v>18</v>
      </c>
      <c r="C1000">
        <v>86</v>
      </c>
      <c r="D1000" s="1" t="s">
        <v>13</v>
      </c>
      <c r="E1000">
        <v>69904.789999999994</v>
      </c>
      <c r="F1000">
        <v>61318.27</v>
      </c>
      <c r="G1000">
        <v>75</v>
      </c>
      <c r="H1000">
        <v>30</v>
      </c>
      <c r="I1000">
        <v>0</v>
      </c>
      <c r="J1000">
        <v>2098.84</v>
      </c>
      <c r="K1000">
        <v>1</v>
      </c>
      <c r="L1000">
        <v>2025</v>
      </c>
    </row>
    <row r="1001" spans="1:12" x14ac:dyDescent="0.25">
      <c r="A1001" s="1" t="s">
        <v>1036</v>
      </c>
      <c r="B1001" s="1" t="s">
        <v>14</v>
      </c>
      <c r="C1001">
        <v>79</v>
      </c>
      <c r="D1001" s="1" t="s">
        <v>13</v>
      </c>
      <c r="E1001">
        <v>63251.8</v>
      </c>
      <c r="F1001">
        <v>61778.73</v>
      </c>
      <c r="G1001">
        <v>25</v>
      </c>
      <c r="H1001">
        <v>0</v>
      </c>
      <c r="I1001">
        <v>17788.349999999999</v>
      </c>
      <c r="J1001">
        <v>3391.67</v>
      </c>
      <c r="K1001">
        <v>0</v>
      </c>
      <c r="L1001">
        <v>2025</v>
      </c>
    </row>
    <row r="1002" spans="1:12" x14ac:dyDescent="0.25">
      <c r="A1002" s="1" t="s">
        <v>1037</v>
      </c>
      <c r="B1002" s="1" t="s">
        <v>18</v>
      </c>
      <c r="C1002">
        <v>83</v>
      </c>
      <c r="D1002" s="1" t="s">
        <v>13</v>
      </c>
      <c r="E1002">
        <v>82560.289999999994</v>
      </c>
      <c r="F1002">
        <v>69658.25</v>
      </c>
      <c r="G1002">
        <v>29</v>
      </c>
      <c r="H1002">
        <v>16</v>
      </c>
      <c r="I1002">
        <v>61621.22</v>
      </c>
      <c r="J1002">
        <v>6500.56</v>
      </c>
      <c r="K1002">
        <v>0</v>
      </c>
      <c r="L1002">
        <v>2025</v>
      </c>
    </row>
    <row r="1003" spans="1:12" x14ac:dyDescent="0.25">
      <c r="A1003" s="1" t="s">
        <v>1038</v>
      </c>
      <c r="B1003" s="1" t="s">
        <v>15</v>
      </c>
      <c r="C1003">
        <v>94</v>
      </c>
      <c r="D1003" s="1" t="s">
        <v>13</v>
      </c>
      <c r="E1003">
        <v>78430.5</v>
      </c>
      <c r="F1003">
        <v>81017.23</v>
      </c>
      <c r="G1003">
        <v>24</v>
      </c>
      <c r="H1003">
        <v>12</v>
      </c>
      <c r="I1003">
        <v>14602.72</v>
      </c>
      <c r="J1003">
        <v>2711.29</v>
      </c>
      <c r="K1003">
        <v>0</v>
      </c>
      <c r="L1003">
        <v>2025</v>
      </c>
    </row>
    <row r="1004" spans="1:12" x14ac:dyDescent="0.25">
      <c r="A1004" s="1" t="s">
        <v>1039</v>
      </c>
      <c r="B1004" s="1" t="s">
        <v>15</v>
      </c>
      <c r="C1004">
        <v>78</v>
      </c>
      <c r="D1004" s="1" t="s">
        <v>13</v>
      </c>
      <c r="E1004">
        <v>61148.47</v>
      </c>
      <c r="F1004">
        <v>56687.98</v>
      </c>
      <c r="G1004">
        <v>34</v>
      </c>
      <c r="H1004">
        <v>49</v>
      </c>
      <c r="I1004">
        <v>4518.92</v>
      </c>
      <c r="J1004">
        <v>0</v>
      </c>
      <c r="K1004">
        <v>0</v>
      </c>
      <c r="L1004">
        <v>2025</v>
      </c>
    </row>
    <row r="1005" spans="1:12" x14ac:dyDescent="0.25">
      <c r="A1005" s="1" t="s">
        <v>1040</v>
      </c>
      <c r="B1005" s="1" t="s">
        <v>16</v>
      </c>
      <c r="C1005">
        <v>8</v>
      </c>
      <c r="D1005" s="1" t="s">
        <v>13</v>
      </c>
      <c r="E1005">
        <v>11983.79</v>
      </c>
      <c r="F1005">
        <v>8840.34</v>
      </c>
      <c r="G1005">
        <v>21</v>
      </c>
      <c r="H1005">
        <v>38</v>
      </c>
      <c r="I1005">
        <v>44699.08</v>
      </c>
      <c r="J1005">
        <v>2517.63</v>
      </c>
      <c r="K1005">
        <v>0</v>
      </c>
      <c r="L1005">
        <v>2025</v>
      </c>
    </row>
    <row r="1006" spans="1:12" x14ac:dyDescent="0.25">
      <c r="A1006" s="1" t="s">
        <v>1041</v>
      </c>
      <c r="B1006" s="1" t="s">
        <v>16</v>
      </c>
      <c r="C1006">
        <v>41</v>
      </c>
      <c r="D1006" s="1" t="s">
        <v>13</v>
      </c>
      <c r="E1006">
        <v>45195.23</v>
      </c>
      <c r="F1006">
        <v>40805.01</v>
      </c>
      <c r="G1006">
        <v>31</v>
      </c>
      <c r="H1006">
        <v>54</v>
      </c>
      <c r="I1006">
        <v>28838.3</v>
      </c>
      <c r="J1006">
        <v>6236.64</v>
      </c>
      <c r="K1006">
        <v>1</v>
      </c>
      <c r="L1006">
        <v>2025</v>
      </c>
    </row>
    <row r="1007" spans="1:12" x14ac:dyDescent="0.25">
      <c r="A1007" s="1" t="s">
        <v>1042</v>
      </c>
      <c r="B1007" s="1" t="s">
        <v>12</v>
      </c>
      <c r="C1007">
        <v>6</v>
      </c>
      <c r="D1007" s="1" t="s">
        <v>13</v>
      </c>
      <c r="E1007">
        <v>8840.19</v>
      </c>
      <c r="F1007">
        <v>6749.7</v>
      </c>
      <c r="G1007">
        <v>30</v>
      </c>
      <c r="H1007">
        <v>56</v>
      </c>
      <c r="I1007">
        <v>27666.6</v>
      </c>
      <c r="J1007">
        <v>0</v>
      </c>
      <c r="K1007">
        <v>0</v>
      </c>
      <c r="L1007">
        <v>2025</v>
      </c>
    </row>
    <row r="1008" spans="1:12" x14ac:dyDescent="0.25">
      <c r="A1008" s="1" t="s">
        <v>1043</v>
      </c>
      <c r="B1008" s="1" t="s">
        <v>18</v>
      </c>
      <c r="C1008">
        <v>14</v>
      </c>
      <c r="D1008" s="1" t="s">
        <v>13</v>
      </c>
      <c r="E1008">
        <v>15537.29</v>
      </c>
      <c r="F1008">
        <v>9256.4599999999991</v>
      </c>
      <c r="G1008">
        <v>29</v>
      </c>
      <c r="H1008">
        <v>39</v>
      </c>
      <c r="I1008">
        <v>33630.199999999997</v>
      </c>
      <c r="J1008">
        <v>10019.58</v>
      </c>
      <c r="K1008">
        <v>0</v>
      </c>
      <c r="L1008">
        <v>2025</v>
      </c>
    </row>
    <row r="1009" spans="1:12" x14ac:dyDescent="0.25">
      <c r="A1009" s="1" t="s">
        <v>1044</v>
      </c>
      <c r="B1009" s="1" t="s">
        <v>12</v>
      </c>
      <c r="C1009">
        <v>78</v>
      </c>
      <c r="D1009" s="1" t="s">
        <v>13</v>
      </c>
      <c r="E1009">
        <v>63355.81</v>
      </c>
      <c r="F1009">
        <v>52940.79</v>
      </c>
      <c r="G1009">
        <v>35</v>
      </c>
      <c r="H1009">
        <v>8</v>
      </c>
      <c r="I1009">
        <v>43164.9</v>
      </c>
      <c r="J1009">
        <v>5095.2700000000004</v>
      </c>
      <c r="K1009">
        <v>0</v>
      </c>
      <c r="L1009">
        <v>2025</v>
      </c>
    </row>
    <row r="1010" spans="1:12" x14ac:dyDescent="0.25">
      <c r="A1010" s="1" t="s">
        <v>1045</v>
      </c>
      <c r="B1010" s="1" t="s">
        <v>14</v>
      </c>
      <c r="C1010">
        <v>68</v>
      </c>
      <c r="D1010" s="1" t="s">
        <v>13</v>
      </c>
      <c r="E1010">
        <v>55595.44</v>
      </c>
      <c r="F1010">
        <v>54376.69</v>
      </c>
      <c r="G1010">
        <v>10</v>
      </c>
      <c r="H1010">
        <v>18</v>
      </c>
      <c r="I1010">
        <v>66371.149999999994</v>
      </c>
      <c r="J1010">
        <v>298.56</v>
      </c>
      <c r="K1010">
        <v>0</v>
      </c>
      <c r="L1010">
        <v>2025</v>
      </c>
    </row>
    <row r="1011" spans="1:12" x14ac:dyDescent="0.25">
      <c r="A1011" s="1" t="s">
        <v>1046</v>
      </c>
      <c r="B1011" s="1" t="s">
        <v>16</v>
      </c>
      <c r="C1011">
        <v>92</v>
      </c>
      <c r="D1011" s="1" t="s">
        <v>13</v>
      </c>
      <c r="E1011">
        <v>70612.960000000006</v>
      </c>
      <c r="F1011">
        <v>47254.76</v>
      </c>
      <c r="G1011">
        <v>44</v>
      </c>
      <c r="H1011">
        <v>50</v>
      </c>
      <c r="I1011">
        <v>50193.32</v>
      </c>
      <c r="J1011">
        <v>7948.41</v>
      </c>
      <c r="K1011">
        <v>0</v>
      </c>
      <c r="L1011">
        <v>2025</v>
      </c>
    </row>
    <row r="1012" spans="1:12" x14ac:dyDescent="0.25">
      <c r="A1012" s="1" t="s">
        <v>1047</v>
      </c>
      <c r="B1012" s="1" t="s">
        <v>17</v>
      </c>
      <c r="C1012">
        <v>80</v>
      </c>
      <c r="D1012" s="1" t="s">
        <v>13</v>
      </c>
      <c r="E1012">
        <v>62456.74</v>
      </c>
      <c r="F1012">
        <v>42261.29</v>
      </c>
      <c r="G1012">
        <v>40</v>
      </c>
      <c r="H1012">
        <v>15</v>
      </c>
      <c r="I1012">
        <v>0</v>
      </c>
      <c r="J1012">
        <v>5193.7299999999996</v>
      </c>
      <c r="K1012">
        <v>0</v>
      </c>
      <c r="L1012">
        <v>2025</v>
      </c>
    </row>
    <row r="1013" spans="1:12" x14ac:dyDescent="0.25">
      <c r="A1013" s="1" t="s">
        <v>31</v>
      </c>
      <c r="B1013" s="1" t="s">
        <v>15</v>
      </c>
      <c r="C1013">
        <v>21</v>
      </c>
      <c r="D1013" s="1" t="s">
        <v>13</v>
      </c>
      <c r="E1013">
        <v>30252.83</v>
      </c>
      <c r="F1013">
        <v>31664.67</v>
      </c>
      <c r="G1013">
        <v>21</v>
      </c>
      <c r="H1013">
        <v>38</v>
      </c>
      <c r="I1013">
        <v>30285.67</v>
      </c>
      <c r="J1013">
        <v>0</v>
      </c>
      <c r="K1013">
        <v>0</v>
      </c>
      <c r="L1013">
        <v>2025</v>
      </c>
    </row>
    <row r="1014" spans="1:12" x14ac:dyDescent="0.25">
      <c r="A1014" s="1" t="s">
        <v>1048</v>
      </c>
      <c r="B1014" s="1" t="s">
        <v>14</v>
      </c>
      <c r="C1014">
        <v>93</v>
      </c>
      <c r="D1014" s="1" t="s">
        <v>13</v>
      </c>
      <c r="E1014">
        <v>74262.179999999993</v>
      </c>
      <c r="F1014">
        <v>69878.81</v>
      </c>
      <c r="G1014">
        <v>38</v>
      </c>
      <c r="H1014">
        <v>54</v>
      </c>
      <c r="I1014">
        <v>21115.54</v>
      </c>
      <c r="J1014">
        <v>6706.69</v>
      </c>
      <c r="K1014">
        <v>0</v>
      </c>
      <c r="L1014">
        <v>2025</v>
      </c>
    </row>
    <row r="1015" spans="1:12" x14ac:dyDescent="0.25">
      <c r="A1015" s="1" t="s">
        <v>1049</v>
      </c>
      <c r="B1015" s="1" t="s">
        <v>14</v>
      </c>
      <c r="C1015">
        <v>15</v>
      </c>
      <c r="D1015" s="1" t="s">
        <v>13</v>
      </c>
      <c r="E1015">
        <v>19066.37</v>
      </c>
      <c r="F1015">
        <v>20085.78</v>
      </c>
      <c r="G1015">
        <v>43</v>
      </c>
      <c r="H1015">
        <v>48</v>
      </c>
      <c r="I1015">
        <v>38027.440000000002</v>
      </c>
      <c r="J1015">
        <v>0</v>
      </c>
      <c r="K1015">
        <v>0</v>
      </c>
      <c r="L1015">
        <v>2025</v>
      </c>
    </row>
    <row r="1016" spans="1:12" x14ac:dyDescent="0.25">
      <c r="A1016" s="1" t="s">
        <v>1050</v>
      </c>
      <c r="B1016" s="1" t="s">
        <v>16</v>
      </c>
      <c r="C1016">
        <v>110</v>
      </c>
      <c r="D1016" s="1" t="s">
        <v>13</v>
      </c>
      <c r="E1016">
        <v>93994.46</v>
      </c>
      <c r="F1016">
        <v>78880.84</v>
      </c>
      <c r="G1016">
        <v>64</v>
      </c>
      <c r="H1016">
        <v>24</v>
      </c>
      <c r="I1016">
        <v>44901.57</v>
      </c>
      <c r="J1016">
        <v>9152.98</v>
      </c>
      <c r="K1016">
        <v>1</v>
      </c>
      <c r="L1016">
        <v>2025</v>
      </c>
    </row>
    <row r="1017" spans="1:12" x14ac:dyDescent="0.25">
      <c r="A1017" s="1" t="s">
        <v>1051</v>
      </c>
      <c r="B1017" s="1" t="s">
        <v>16</v>
      </c>
      <c r="C1017">
        <v>97</v>
      </c>
      <c r="D1017" s="1" t="s">
        <v>13</v>
      </c>
      <c r="E1017">
        <v>80423.08</v>
      </c>
      <c r="F1017">
        <v>85099</v>
      </c>
      <c r="G1017">
        <v>39</v>
      </c>
      <c r="H1017">
        <v>0</v>
      </c>
      <c r="I1017">
        <v>51904.13</v>
      </c>
      <c r="J1017">
        <v>13697.12</v>
      </c>
      <c r="K1017">
        <v>0</v>
      </c>
      <c r="L1017">
        <v>2025</v>
      </c>
    </row>
    <row r="1018" spans="1:12" x14ac:dyDescent="0.25">
      <c r="A1018" s="1" t="s">
        <v>1052</v>
      </c>
      <c r="B1018" s="1" t="s">
        <v>17</v>
      </c>
      <c r="C1018">
        <v>61</v>
      </c>
      <c r="D1018" s="1" t="s">
        <v>13</v>
      </c>
      <c r="E1018">
        <v>57948.04</v>
      </c>
      <c r="F1018">
        <v>48656.7</v>
      </c>
      <c r="G1018">
        <v>54</v>
      </c>
      <c r="H1018">
        <v>37</v>
      </c>
      <c r="I1018">
        <v>32818.21</v>
      </c>
      <c r="J1018">
        <v>8950.43</v>
      </c>
      <c r="K1018">
        <v>0</v>
      </c>
      <c r="L1018">
        <v>2025</v>
      </c>
    </row>
    <row r="1019" spans="1:12" x14ac:dyDescent="0.25">
      <c r="A1019" s="1" t="s">
        <v>1053</v>
      </c>
      <c r="B1019" s="1" t="s">
        <v>17</v>
      </c>
      <c r="C1019">
        <v>88</v>
      </c>
      <c r="D1019" s="1" t="s">
        <v>13</v>
      </c>
      <c r="E1019">
        <v>73861.119999999995</v>
      </c>
      <c r="F1019">
        <v>55097.14</v>
      </c>
      <c r="G1019">
        <v>57</v>
      </c>
      <c r="H1019">
        <v>27</v>
      </c>
      <c r="I1019">
        <v>64800.639999999999</v>
      </c>
      <c r="J1019">
        <v>3042.92</v>
      </c>
      <c r="K1019">
        <v>0</v>
      </c>
      <c r="L1019">
        <v>2025</v>
      </c>
    </row>
    <row r="1020" spans="1:12" x14ac:dyDescent="0.25">
      <c r="A1020" s="1" t="s">
        <v>1054</v>
      </c>
      <c r="B1020" s="1" t="s">
        <v>18</v>
      </c>
      <c r="C1020">
        <v>21</v>
      </c>
      <c r="D1020" s="1" t="s">
        <v>13</v>
      </c>
      <c r="E1020">
        <v>23297.02</v>
      </c>
      <c r="F1020">
        <v>15827.1</v>
      </c>
      <c r="G1020">
        <v>53</v>
      </c>
      <c r="H1020">
        <v>27</v>
      </c>
      <c r="I1020">
        <v>2365.85</v>
      </c>
      <c r="J1020">
        <v>2180.83</v>
      </c>
      <c r="K1020">
        <v>0</v>
      </c>
      <c r="L1020">
        <v>2025</v>
      </c>
    </row>
    <row r="1021" spans="1:12" x14ac:dyDescent="0.25">
      <c r="A1021" s="1" t="s">
        <v>1055</v>
      </c>
      <c r="B1021" s="1" t="s">
        <v>14</v>
      </c>
      <c r="C1021">
        <v>108</v>
      </c>
      <c r="D1021" s="1" t="s">
        <v>13</v>
      </c>
      <c r="E1021">
        <v>89601.96</v>
      </c>
      <c r="F1021">
        <v>93233.13</v>
      </c>
      <c r="G1021">
        <v>44</v>
      </c>
      <c r="H1021">
        <v>55</v>
      </c>
      <c r="I1021">
        <v>23600.87</v>
      </c>
      <c r="J1021">
        <v>7510.95</v>
      </c>
      <c r="K1021">
        <v>1</v>
      </c>
      <c r="L1021">
        <v>2025</v>
      </c>
    </row>
    <row r="1022" spans="1:12" x14ac:dyDescent="0.25">
      <c r="A1022" s="1" t="s">
        <v>1056</v>
      </c>
      <c r="B1022" s="1" t="s">
        <v>14</v>
      </c>
      <c r="C1022">
        <v>104</v>
      </c>
      <c r="D1022" s="1" t="s">
        <v>13</v>
      </c>
      <c r="E1022">
        <v>84131.58</v>
      </c>
      <c r="F1022">
        <v>52284.38</v>
      </c>
      <c r="G1022">
        <v>18</v>
      </c>
      <c r="H1022">
        <v>15</v>
      </c>
      <c r="I1022">
        <v>37953.050000000003</v>
      </c>
      <c r="J1022">
        <v>0</v>
      </c>
      <c r="K1022">
        <v>0</v>
      </c>
      <c r="L1022">
        <v>2025</v>
      </c>
    </row>
    <row r="1023" spans="1:12" x14ac:dyDescent="0.25">
      <c r="A1023" s="1" t="s">
        <v>1057</v>
      </c>
      <c r="B1023" s="1" t="s">
        <v>18</v>
      </c>
      <c r="C1023">
        <v>82</v>
      </c>
      <c r="D1023" s="1" t="s">
        <v>13</v>
      </c>
      <c r="E1023">
        <v>79228.2</v>
      </c>
      <c r="F1023">
        <v>46997.78</v>
      </c>
      <c r="G1023">
        <v>34</v>
      </c>
      <c r="H1023">
        <v>42</v>
      </c>
      <c r="I1023">
        <v>8649.5300000000007</v>
      </c>
      <c r="J1023">
        <v>4024.62</v>
      </c>
      <c r="K1023">
        <v>0</v>
      </c>
      <c r="L1023">
        <v>2025</v>
      </c>
    </row>
    <row r="1024" spans="1:12" x14ac:dyDescent="0.25">
      <c r="A1024" s="1" t="s">
        <v>1058</v>
      </c>
      <c r="B1024" s="1" t="s">
        <v>17</v>
      </c>
      <c r="C1024">
        <v>15</v>
      </c>
      <c r="D1024" s="1" t="s">
        <v>13</v>
      </c>
      <c r="E1024">
        <v>12679.94</v>
      </c>
      <c r="F1024">
        <v>11503.69</v>
      </c>
      <c r="G1024">
        <v>71</v>
      </c>
      <c r="H1024">
        <v>32</v>
      </c>
      <c r="I1024">
        <v>20698.84</v>
      </c>
      <c r="J1024">
        <v>8093.14</v>
      </c>
      <c r="K1024">
        <v>1</v>
      </c>
      <c r="L1024">
        <v>2025</v>
      </c>
    </row>
    <row r="1025" spans="1:12" x14ac:dyDescent="0.25">
      <c r="A1025" s="1" t="s">
        <v>1059</v>
      </c>
      <c r="B1025" s="1" t="s">
        <v>15</v>
      </c>
      <c r="C1025">
        <v>89</v>
      </c>
      <c r="D1025" s="1" t="s">
        <v>13</v>
      </c>
      <c r="E1025">
        <v>61103.69</v>
      </c>
      <c r="F1025">
        <v>58624.29</v>
      </c>
      <c r="G1025">
        <v>15</v>
      </c>
      <c r="H1025">
        <v>18</v>
      </c>
      <c r="I1025">
        <v>59708.34</v>
      </c>
      <c r="J1025">
        <v>3894.1</v>
      </c>
      <c r="K1025">
        <v>0</v>
      </c>
      <c r="L1025">
        <v>2025</v>
      </c>
    </row>
    <row r="1026" spans="1:12" x14ac:dyDescent="0.25">
      <c r="A1026" s="1" t="s">
        <v>1060</v>
      </c>
      <c r="B1026" s="1" t="s">
        <v>15</v>
      </c>
      <c r="C1026">
        <v>11</v>
      </c>
      <c r="D1026" s="1" t="s">
        <v>13</v>
      </c>
      <c r="E1026">
        <v>10406.73</v>
      </c>
      <c r="F1026">
        <v>7832.63</v>
      </c>
      <c r="G1026">
        <v>25</v>
      </c>
      <c r="H1026">
        <v>10</v>
      </c>
      <c r="I1026">
        <v>985.44</v>
      </c>
      <c r="J1026">
        <v>3428.15</v>
      </c>
      <c r="K1026">
        <v>0</v>
      </c>
      <c r="L1026">
        <v>2025</v>
      </c>
    </row>
    <row r="1027" spans="1:12" x14ac:dyDescent="0.25">
      <c r="A1027" s="1" t="s">
        <v>1061</v>
      </c>
      <c r="B1027" s="1" t="s">
        <v>18</v>
      </c>
      <c r="C1027">
        <v>60</v>
      </c>
      <c r="D1027" s="1" t="s">
        <v>13</v>
      </c>
      <c r="E1027">
        <v>45127.54</v>
      </c>
      <c r="F1027">
        <v>41841.11</v>
      </c>
      <c r="G1027">
        <v>50</v>
      </c>
      <c r="H1027">
        <v>1</v>
      </c>
      <c r="I1027">
        <v>73954.850000000006</v>
      </c>
      <c r="J1027">
        <v>489.28</v>
      </c>
      <c r="K1027">
        <v>1</v>
      </c>
      <c r="L1027">
        <v>2025</v>
      </c>
    </row>
    <row r="1028" spans="1:12" x14ac:dyDescent="0.25">
      <c r="A1028" s="1" t="s">
        <v>1062</v>
      </c>
      <c r="B1028" s="1" t="s">
        <v>14</v>
      </c>
      <c r="C1028">
        <v>75</v>
      </c>
      <c r="D1028" s="1" t="s">
        <v>13</v>
      </c>
      <c r="E1028">
        <v>52219.11</v>
      </c>
      <c r="F1028">
        <v>54473.65</v>
      </c>
      <c r="G1028">
        <v>27</v>
      </c>
      <c r="H1028">
        <v>0</v>
      </c>
      <c r="I1028">
        <v>21281.85</v>
      </c>
      <c r="J1028">
        <v>7974.32</v>
      </c>
      <c r="K1028">
        <v>0</v>
      </c>
      <c r="L1028">
        <v>2025</v>
      </c>
    </row>
    <row r="1029" spans="1:12" x14ac:dyDescent="0.25">
      <c r="A1029" s="1" t="s">
        <v>1063</v>
      </c>
      <c r="B1029" s="1" t="s">
        <v>16</v>
      </c>
      <c r="C1029">
        <v>112</v>
      </c>
      <c r="D1029" s="1" t="s">
        <v>13</v>
      </c>
      <c r="E1029">
        <v>103783.37</v>
      </c>
      <c r="F1029">
        <v>92250.75</v>
      </c>
      <c r="G1029">
        <v>29</v>
      </c>
      <c r="H1029">
        <v>17</v>
      </c>
      <c r="I1029">
        <v>0</v>
      </c>
      <c r="J1029">
        <v>0</v>
      </c>
      <c r="K1029">
        <v>1</v>
      </c>
      <c r="L1029">
        <v>2025</v>
      </c>
    </row>
    <row r="1030" spans="1:12" x14ac:dyDescent="0.25">
      <c r="A1030" s="1" t="s">
        <v>1064</v>
      </c>
      <c r="B1030" s="1" t="s">
        <v>12</v>
      </c>
      <c r="C1030">
        <v>9</v>
      </c>
      <c r="D1030" s="1" t="s">
        <v>13</v>
      </c>
      <c r="E1030">
        <v>17024.22</v>
      </c>
      <c r="F1030">
        <v>9904.06</v>
      </c>
      <c r="G1030">
        <v>45</v>
      </c>
      <c r="H1030">
        <v>31</v>
      </c>
      <c r="I1030">
        <v>73621.7</v>
      </c>
      <c r="J1030">
        <v>1856.64</v>
      </c>
      <c r="K1030">
        <v>0</v>
      </c>
      <c r="L1030">
        <v>2025</v>
      </c>
    </row>
    <row r="1031" spans="1:12" x14ac:dyDescent="0.25">
      <c r="A1031" s="1" t="s">
        <v>1065</v>
      </c>
      <c r="B1031" s="1" t="s">
        <v>18</v>
      </c>
      <c r="C1031">
        <v>83</v>
      </c>
      <c r="D1031" s="1" t="s">
        <v>13</v>
      </c>
      <c r="E1031">
        <v>67375.789999999994</v>
      </c>
      <c r="F1031">
        <v>49804.35</v>
      </c>
      <c r="G1031">
        <v>42</v>
      </c>
      <c r="H1031">
        <v>13</v>
      </c>
      <c r="I1031">
        <v>7807.66</v>
      </c>
      <c r="J1031">
        <v>6432.73</v>
      </c>
      <c r="K1031">
        <v>1</v>
      </c>
      <c r="L1031">
        <v>2025</v>
      </c>
    </row>
    <row r="1032" spans="1:12" x14ac:dyDescent="0.25">
      <c r="A1032" s="1" t="s">
        <v>1066</v>
      </c>
      <c r="B1032" s="1" t="s">
        <v>12</v>
      </c>
      <c r="C1032">
        <v>92</v>
      </c>
      <c r="D1032" s="1" t="s">
        <v>13</v>
      </c>
      <c r="E1032">
        <v>72164.3</v>
      </c>
      <c r="F1032">
        <v>65087.64</v>
      </c>
      <c r="G1032">
        <v>34</v>
      </c>
      <c r="H1032">
        <v>22</v>
      </c>
      <c r="I1032">
        <v>23281.25</v>
      </c>
      <c r="J1032">
        <v>4673.74</v>
      </c>
      <c r="K1032">
        <v>1</v>
      </c>
      <c r="L1032">
        <v>2025</v>
      </c>
    </row>
    <row r="1033" spans="1:12" x14ac:dyDescent="0.25">
      <c r="A1033" s="1" t="s">
        <v>1067</v>
      </c>
      <c r="B1033" s="1" t="s">
        <v>15</v>
      </c>
      <c r="C1033">
        <v>19</v>
      </c>
      <c r="D1033" s="1" t="s">
        <v>13</v>
      </c>
      <c r="E1033">
        <v>32349.200000000001</v>
      </c>
      <c r="F1033">
        <v>28266.240000000002</v>
      </c>
      <c r="G1033">
        <v>10</v>
      </c>
      <c r="H1033">
        <v>0</v>
      </c>
      <c r="I1033">
        <v>69724.02</v>
      </c>
      <c r="J1033">
        <v>10036.459999999999</v>
      </c>
      <c r="K1033">
        <v>0</v>
      </c>
      <c r="L1033">
        <v>2025</v>
      </c>
    </row>
    <row r="1034" spans="1:12" x14ac:dyDescent="0.25">
      <c r="A1034" s="1" t="s">
        <v>1068</v>
      </c>
      <c r="B1034" s="1" t="s">
        <v>18</v>
      </c>
      <c r="C1034">
        <v>15</v>
      </c>
      <c r="D1034" s="1" t="s">
        <v>13</v>
      </c>
      <c r="E1034">
        <v>23839.45</v>
      </c>
      <c r="F1034">
        <v>25238.51</v>
      </c>
      <c r="G1034">
        <v>44</v>
      </c>
      <c r="H1034">
        <v>11</v>
      </c>
      <c r="I1034">
        <v>62353.04</v>
      </c>
      <c r="J1034">
        <v>0</v>
      </c>
      <c r="K1034">
        <v>1</v>
      </c>
      <c r="L1034">
        <v>2025</v>
      </c>
    </row>
    <row r="1035" spans="1:12" x14ac:dyDescent="0.25">
      <c r="A1035" s="1" t="s">
        <v>1069</v>
      </c>
      <c r="B1035" s="1" t="s">
        <v>16</v>
      </c>
      <c r="C1035">
        <v>53</v>
      </c>
      <c r="D1035" s="1" t="s">
        <v>13</v>
      </c>
      <c r="E1035">
        <v>65469.32</v>
      </c>
      <c r="F1035">
        <v>54746.92</v>
      </c>
      <c r="G1035">
        <v>51</v>
      </c>
      <c r="H1035">
        <v>35</v>
      </c>
      <c r="I1035">
        <v>52443.66</v>
      </c>
      <c r="J1035">
        <v>5505.15</v>
      </c>
      <c r="K1035">
        <v>1</v>
      </c>
      <c r="L1035">
        <v>2025</v>
      </c>
    </row>
    <row r="1036" spans="1:12" x14ac:dyDescent="0.25">
      <c r="A1036" s="1" t="s">
        <v>1070</v>
      </c>
      <c r="B1036" s="1" t="s">
        <v>16</v>
      </c>
      <c r="C1036">
        <v>40</v>
      </c>
      <c r="D1036" s="1" t="s">
        <v>13</v>
      </c>
      <c r="E1036">
        <v>21337.08</v>
      </c>
      <c r="F1036">
        <v>14073.42</v>
      </c>
      <c r="G1036">
        <v>60</v>
      </c>
      <c r="H1036">
        <v>28</v>
      </c>
      <c r="I1036">
        <v>23157.33</v>
      </c>
      <c r="J1036">
        <v>5603.22</v>
      </c>
      <c r="K1036">
        <v>0</v>
      </c>
      <c r="L1036">
        <v>2025</v>
      </c>
    </row>
    <row r="1037" spans="1:12" x14ac:dyDescent="0.25">
      <c r="A1037" s="1" t="s">
        <v>1071</v>
      </c>
      <c r="B1037" s="1" t="s">
        <v>17</v>
      </c>
      <c r="C1037">
        <v>104</v>
      </c>
      <c r="D1037" s="1" t="s">
        <v>13</v>
      </c>
      <c r="E1037">
        <v>80640.66</v>
      </c>
      <c r="F1037">
        <v>70240.7</v>
      </c>
      <c r="G1037">
        <v>65</v>
      </c>
      <c r="H1037">
        <v>1</v>
      </c>
      <c r="I1037">
        <v>84236.4</v>
      </c>
      <c r="J1037">
        <v>5881.65</v>
      </c>
      <c r="K1037">
        <v>0</v>
      </c>
      <c r="L1037">
        <v>2025</v>
      </c>
    </row>
    <row r="1038" spans="1:12" x14ac:dyDescent="0.25">
      <c r="A1038" s="1" t="s">
        <v>1072</v>
      </c>
      <c r="B1038" s="1" t="s">
        <v>12</v>
      </c>
      <c r="C1038">
        <v>17</v>
      </c>
      <c r="D1038" s="1" t="s">
        <v>13</v>
      </c>
      <c r="E1038">
        <v>26260.86</v>
      </c>
      <c r="F1038">
        <v>23528.22</v>
      </c>
      <c r="G1038">
        <v>34</v>
      </c>
      <c r="H1038">
        <v>5</v>
      </c>
      <c r="I1038">
        <v>18298.150000000001</v>
      </c>
      <c r="J1038">
        <v>0</v>
      </c>
      <c r="K1038">
        <v>0</v>
      </c>
      <c r="L1038">
        <v>2025</v>
      </c>
    </row>
    <row r="1039" spans="1:12" x14ac:dyDescent="0.25">
      <c r="A1039" s="1" t="s">
        <v>1073</v>
      </c>
      <c r="B1039" s="1" t="s">
        <v>17</v>
      </c>
      <c r="C1039">
        <v>30</v>
      </c>
      <c r="D1039" s="1" t="s">
        <v>13</v>
      </c>
      <c r="E1039">
        <v>29649.02</v>
      </c>
      <c r="F1039">
        <v>19872.41</v>
      </c>
      <c r="G1039">
        <v>26</v>
      </c>
      <c r="H1039">
        <v>38</v>
      </c>
      <c r="I1039">
        <v>12533.19</v>
      </c>
      <c r="J1039">
        <v>6105.58</v>
      </c>
      <c r="K1039">
        <v>0</v>
      </c>
      <c r="L1039">
        <v>2025</v>
      </c>
    </row>
    <row r="1040" spans="1:12" x14ac:dyDescent="0.25">
      <c r="A1040" s="1" t="s">
        <v>1074</v>
      </c>
      <c r="B1040" s="1" t="s">
        <v>12</v>
      </c>
      <c r="C1040">
        <v>55</v>
      </c>
      <c r="D1040" s="1" t="s">
        <v>13</v>
      </c>
      <c r="E1040">
        <v>42644.56</v>
      </c>
      <c r="F1040">
        <v>34356.910000000003</v>
      </c>
      <c r="G1040">
        <v>53</v>
      </c>
      <c r="H1040">
        <v>40</v>
      </c>
      <c r="I1040">
        <v>34990.97</v>
      </c>
      <c r="J1040">
        <v>1662.58</v>
      </c>
      <c r="K1040">
        <v>0</v>
      </c>
      <c r="L1040">
        <v>2025</v>
      </c>
    </row>
    <row r="1041" spans="1:12" x14ac:dyDescent="0.25">
      <c r="A1041" s="1" t="s">
        <v>1075</v>
      </c>
      <c r="B1041" s="1" t="s">
        <v>18</v>
      </c>
      <c r="C1041">
        <v>97</v>
      </c>
      <c r="D1041" s="1" t="s">
        <v>13</v>
      </c>
      <c r="E1041">
        <v>65271.39</v>
      </c>
      <c r="F1041">
        <v>57452.52</v>
      </c>
      <c r="G1041">
        <v>53</v>
      </c>
      <c r="H1041">
        <v>55</v>
      </c>
      <c r="I1041">
        <v>42919.86</v>
      </c>
      <c r="J1041">
        <v>6228.31</v>
      </c>
      <c r="K1041">
        <v>0</v>
      </c>
      <c r="L1041">
        <v>2025</v>
      </c>
    </row>
    <row r="1042" spans="1:12" x14ac:dyDescent="0.25">
      <c r="A1042" s="1" t="s">
        <v>1076</v>
      </c>
      <c r="B1042" s="1" t="s">
        <v>18</v>
      </c>
      <c r="C1042">
        <v>4</v>
      </c>
      <c r="D1042" s="1" t="s">
        <v>13</v>
      </c>
      <c r="E1042">
        <v>15619.41</v>
      </c>
      <c r="F1042">
        <v>12242.78</v>
      </c>
      <c r="G1042">
        <v>49</v>
      </c>
      <c r="H1042">
        <v>52</v>
      </c>
      <c r="I1042">
        <v>51050.22</v>
      </c>
      <c r="J1042">
        <v>10677.81</v>
      </c>
      <c r="K1042">
        <v>1</v>
      </c>
      <c r="L1042">
        <v>2025</v>
      </c>
    </row>
    <row r="1043" spans="1:12" x14ac:dyDescent="0.25">
      <c r="A1043" s="1" t="s">
        <v>1077</v>
      </c>
      <c r="B1043" s="1" t="s">
        <v>17</v>
      </c>
      <c r="C1043">
        <v>18</v>
      </c>
      <c r="D1043" s="1" t="s">
        <v>13</v>
      </c>
      <c r="E1043">
        <v>27080.720000000001</v>
      </c>
      <c r="F1043">
        <v>17288.810000000001</v>
      </c>
      <c r="G1043">
        <v>50</v>
      </c>
      <c r="H1043">
        <v>2</v>
      </c>
      <c r="I1043">
        <v>48066.85</v>
      </c>
      <c r="J1043">
        <v>7440.25</v>
      </c>
      <c r="K1043">
        <v>0</v>
      </c>
      <c r="L1043">
        <v>2025</v>
      </c>
    </row>
    <row r="1044" spans="1:12" x14ac:dyDescent="0.25">
      <c r="A1044" s="1" t="s">
        <v>1078</v>
      </c>
      <c r="B1044" s="1" t="s">
        <v>17</v>
      </c>
      <c r="C1044">
        <v>120</v>
      </c>
      <c r="D1044" s="1" t="s">
        <v>13</v>
      </c>
      <c r="E1044">
        <v>97257.02</v>
      </c>
      <c r="F1044">
        <v>100072.98</v>
      </c>
      <c r="G1044">
        <v>27</v>
      </c>
      <c r="H1044">
        <v>30</v>
      </c>
      <c r="I1044">
        <v>60813.69</v>
      </c>
      <c r="J1044">
        <v>4577.41</v>
      </c>
      <c r="K1044">
        <v>0</v>
      </c>
      <c r="L1044">
        <v>2025</v>
      </c>
    </row>
    <row r="1045" spans="1:12" x14ac:dyDescent="0.25">
      <c r="A1045" s="1" t="s">
        <v>1079</v>
      </c>
      <c r="B1045" s="1" t="s">
        <v>15</v>
      </c>
      <c r="C1045">
        <v>57</v>
      </c>
      <c r="D1045" s="1" t="s">
        <v>13</v>
      </c>
      <c r="E1045">
        <v>60539.519999999997</v>
      </c>
      <c r="F1045">
        <v>41715.199999999997</v>
      </c>
      <c r="G1045">
        <v>47</v>
      </c>
      <c r="H1045">
        <v>22</v>
      </c>
      <c r="I1045">
        <v>40861.949999999997</v>
      </c>
      <c r="J1045">
        <v>0</v>
      </c>
      <c r="K1045">
        <v>0</v>
      </c>
      <c r="L1045">
        <v>2025</v>
      </c>
    </row>
    <row r="1046" spans="1:12" x14ac:dyDescent="0.25">
      <c r="A1046" s="1" t="s">
        <v>1080</v>
      </c>
      <c r="B1046" s="1" t="s">
        <v>18</v>
      </c>
      <c r="C1046">
        <v>15</v>
      </c>
      <c r="D1046" s="1" t="s">
        <v>13</v>
      </c>
      <c r="E1046">
        <v>26441.48</v>
      </c>
      <c r="F1046">
        <v>17308.490000000002</v>
      </c>
      <c r="G1046">
        <v>44</v>
      </c>
      <c r="H1046">
        <v>18</v>
      </c>
      <c r="I1046">
        <v>31525.15</v>
      </c>
      <c r="J1046">
        <v>6534.01</v>
      </c>
      <c r="K1046">
        <v>0</v>
      </c>
      <c r="L1046">
        <v>2025</v>
      </c>
    </row>
    <row r="1047" spans="1:12" x14ac:dyDescent="0.25">
      <c r="A1047" s="1" t="s">
        <v>1081</v>
      </c>
      <c r="B1047" s="1" t="s">
        <v>15</v>
      </c>
      <c r="C1047">
        <v>91</v>
      </c>
      <c r="D1047" s="1" t="s">
        <v>13</v>
      </c>
      <c r="E1047">
        <v>80606.06</v>
      </c>
      <c r="F1047">
        <v>74909.19</v>
      </c>
      <c r="G1047">
        <v>64</v>
      </c>
      <c r="H1047">
        <v>69</v>
      </c>
      <c r="I1047">
        <v>30057.66</v>
      </c>
      <c r="J1047">
        <v>857.91</v>
      </c>
      <c r="K1047">
        <v>0</v>
      </c>
      <c r="L1047">
        <v>2025</v>
      </c>
    </row>
    <row r="1048" spans="1:12" x14ac:dyDescent="0.25">
      <c r="A1048" s="1" t="s">
        <v>1082</v>
      </c>
      <c r="B1048" s="1" t="s">
        <v>12</v>
      </c>
      <c r="C1048">
        <v>84</v>
      </c>
      <c r="D1048" s="1" t="s">
        <v>13</v>
      </c>
      <c r="E1048">
        <v>65462.58</v>
      </c>
      <c r="F1048">
        <v>69343.100000000006</v>
      </c>
      <c r="G1048">
        <v>24</v>
      </c>
      <c r="H1048">
        <v>27</v>
      </c>
      <c r="I1048">
        <v>6674.94</v>
      </c>
      <c r="J1048">
        <v>2106.2399999999998</v>
      </c>
      <c r="K1048">
        <v>1</v>
      </c>
      <c r="L1048">
        <v>2025</v>
      </c>
    </row>
    <row r="1049" spans="1:12" x14ac:dyDescent="0.25">
      <c r="A1049" s="1" t="s">
        <v>1083</v>
      </c>
      <c r="B1049" s="1" t="s">
        <v>18</v>
      </c>
      <c r="C1049">
        <v>9</v>
      </c>
      <c r="D1049" s="1" t="s">
        <v>13</v>
      </c>
      <c r="E1049">
        <v>10090.879999999999</v>
      </c>
      <c r="F1049">
        <v>8212.52</v>
      </c>
      <c r="G1049">
        <v>60</v>
      </c>
      <c r="H1049">
        <v>11</v>
      </c>
      <c r="I1049">
        <v>37963.1</v>
      </c>
      <c r="J1049">
        <v>0</v>
      </c>
      <c r="K1049">
        <v>1</v>
      </c>
      <c r="L1049">
        <v>2025</v>
      </c>
    </row>
    <row r="1050" spans="1:12" x14ac:dyDescent="0.25">
      <c r="A1050" s="1" t="s">
        <v>1084</v>
      </c>
      <c r="B1050" s="1" t="s">
        <v>15</v>
      </c>
      <c r="C1050">
        <v>4</v>
      </c>
      <c r="D1050" s="1" t="s">
        <v>13</v>
      </c>
      <c r="E1050">
        <v>4000</v>
      </c>
      <c r="F1050">
        <v>4236.01</v>
      </c>
      <c r="G1050">
        <v>63</v>
      </c>
      <c r="H1050">
        <v>30</v>
      </c>
      <c r="I1050">
        <v>47735.08</v>
      </c>
      <c r="J1050">
        <v>7495.45</v>
      </c>
      <c r="K1050">
        <v>1</v>
      </c>
      <c r="L1050">
        <v>2025</v>
      </c>
    </row>
    <row r="1051" spans="1:12" x14ac:dyDescent="0.25">
      <c r="A1051" s="1" t="s">
        <v>1085</v>
      </c>
      <c r="B1051" s="1" t="s">
        <v>14</v>
      </c>
      <c r="C1051">
        <v>30</v>
      </c>
      <c r="D1051" s="1" t="s">
        <v>13</v>
      </c>
      <c r="E1051">
        <v>35817.56</v>
      </c>
      <c r="F1051">
        <v>32202.66</v>
      </c>
      <c r="G1051">
        <v>42</v>
      </c>
      <c r="H1051">
        <v>7</v>
      </c>
      <c r="I1051">
        <v>61425.26</v>
      </c>
      <c r="J1051">
        <v>13628.6</v>
      </c>
      <c r="K1051">
        <v>0</v>
      </c>
      <c r="L1051">
        <v>2025</v>
      </c>
    </row>
    <row r="1052" spans="1:12" x14ac:dyDescent="0.25">
      <c r="A1052" s="1" t="s">
        <v>1086</v>
      </c>
      <c r="B1052" s="1" t="s">
        <v>18</v>
      </c>
      <c r="C1052">
        <v>118</v>
      </c>
      <c r="D1052" s="1" t="s">
        <v>13</v>
      </c>
      <c r="E1052">
        <v>113633.55</v>
      </c>
      <c r="F1052">
        <v>71119.520000000004</v>
      </c>
      <c r="G1052">
        <v>60</v>
      </c>
      <c r="H1052">
        <v>23</v>
      </c>
      <c r="I1052">
        <v>0</v>
      </c>
      <c r="J1052">
        <v>3065.56</v>
      </c>
      <c r="K1052">
        <v>0</v>
      </c>
      <c r="L1052">
        <v>2025</v>
      </c>
    </row>
    <row r="1053" spans="1:12" x14ac:dyDescent="0.25">
      <c r="A1053" s="1" t="s">
        <v>1087</v>
      </c>
      <c r="B1053" s="1" t="s">
        <v>17</v>
      </c>
      <c r="C1053">
        <v>42</v>
      </c>
      <c r="D1053" s="1" t="s">
        <v>13</v>
      </c>
      <c r="E1053">
        <v>33517.769999999997</v>
      </c>
      <c r="F1053">
        <v>34921.199999999997</v>
      </c>
      <c r="G1053">
        <v>39</v>
      </c>
      <c r="H1053">
        <v>29</v>
      </c>
      <c r="I1053">
        <v>9455.8799999999992</v>
      </c>
      <c r="J1053">
        <v>0</v>
      </c>
      <c r="K1053">
        <v>0</v>
      </c>
      <c r="L1053">
        <v>2025</v>
      </c>
    </row>
    <row r="1054" spans="1:12" x14ac:dyDescent="0.25">
      <c r="A1054" s="1" t="s">
        <v>1088</v>
      </c>
      <c r="B1054" s="1" t="s">
        <v>12</v>
      </c>
      <c r="C1054">
        <v>50</v>
      </c>
      <c r="D1054" s="1" t="s">
        <v>13</v>
      </c>
      <c r="E1054">
        <v>38242.86</v>
      </c>
      <c r="F1054">
        <v>28285.46</v>
      </c>
      <c r="G1054">
        <v>59</v>
      </c>
      <c r="H1054">
        <v>28</v>
      </c>
      <c r="I1054">
        <v>26484.15</v>
      </c>
      <c r="J1054">
        <v>0</v>
      </c>
      <c r="K1054">
        <v>0</v>
      </c>
      <c r="L1054">
        <v>2025</v>
      </c>
    </row>
    <row r="1055" spans="1:12" x14ac:dyDescent="0.25">
      <c r="A1055" s="1" t="s">
        <v>1089</v>
      </c>
      <c r="B1055" s="1" t="s">
        <v>17</v>
      </c>
      <c r="C1055">
        <v>8</v>
      </c>
      <c r="D1055" s="1" t="s">
        <v>13</v>
      </c>
      <c r="E1055">
        <v>14426.21</v>
      </c>
      <c r="F1055">
        <v>9105.4599999999991</v>
      </c>
      <c r="G1055">
        <v>30</v>
      </c>
      <c r="H1055">
        <v>10</v>
      </c>
      <c r="I1055">
        <v>71690.84</v>
      </c>
      <c r="J1055">
        <v>0</v>
      </c>
      <c r="K1055">
        <v>0</v>
      </c>
      <c r="L1055">
        <v>2025</v>
      </c>
    </row>
    <row r="1056" spans="1:12" x14ac:dyDescent="0.25">
      <c r="A1056" s="1" t="s">
        <v>1090</v>
      </c>
      <c r="B1056" s="1" t="s">
        <v>17</v>
      </c>
      <c r="C1056">
        <v>56</v>
      </c>
      <c r="D1056" s="1" t="s">
        <v>20</v>
      </c>
      <c r="E1056">
        <v>37311.230000000003</v>
      </c>
      <c r="F1056">
        <v>40154.879999999997</v>
      </c>
      <c r="G1056">
        <v>57</v>
      </c>
      <c r="H1056">
        <v>18</v>
      </c>
      <c r="I1056">
        <v>22265.200000000001</v>
      </c>
      <c r="J1056">
        <v>0</v>
      </c>
      <c r="K1056">
        <v>0</v>
      </c>
      <c r="L1056">
        <v>2025</v>
      </c>
    </row>
    <row r="1057" spans="1:12" x14ac:dyDescent="0.25">
      <c r="A1057" s="1" t="s">
        <v>1091</v>
      </c>
      <c r="B1057" s="1" t="s">
        <v>15</v>
      </c>
      <c r="C1057">
        <v>39</v>
      </c>
      <c r="D1057" s="1" t="s">
        <v>20</v>
      </c>
      <c r="E1057">
        <v>41971.040000000001</v>
      </c>
      <c r="F1057">
        <v>39761.57</v>
      </c>
      <c r="G1057">
        <v>55</v>
      </c>
      <c r="H1057">
        <v>48</v>
      </c>
      <c r="I1057">
        <v>34271.83</v>
      </c>
      <c r="J1057">
        <v>4924.04</v>
      </c>
      <c r="K1057">
        <v>1</v>
      </c>
      <c r="L1057">
        <v>2025</v>
      </c>
    </row>
    <row r="1058" spans="1:12" x14ac:dyDescent="0.25">
      <c r="A1058" s="1" t="s">
        <v>1092</v>
      </c>
      <c r="B1058" s="1" t="s">
        <v>18</v>
      </c>
      <c r="C1058">
        <v>77</v>
      </c>
      <c r="D1058" s="1" t="s">
        <v>20</v>
      </c>
      <c r="E1058">
        <v>77274.23</v>
      </c>
      <c r="F1058">
        <v>53166.26</v>
      </c>
      <c r="G1058">
        <v>42</v>
      </c>
      <c r="H1058">
        <v>25</v>
      </c>
      <c r="I1058">
        <v>6647.46</v>
      </c>
      <c r="J1058">
        <v>314.8</v>
      </c>
      <c r="K1058">
        <v>0</v>
      </c>
      <c r="L1058">
        <v>2025</v>
      </c>
    </row>
    <row r="1059" spans="1:12" x14ac:dyDescent="0.25">
      <c r="A1059" s="1" t="s">
        <v>1093</v>
      </c>
      <c r="B1059" s="1" t="s">
        <v>16</v>
      </c>
      <c r="C1059">
        <v>25</v>
      </c>
      <c r="D1059" s="1" t="s">
        <v>20</v>
      </c>
      <c r="E1059">
        <v>35983.33</v>
      </c>
      <c r="F1059">
        <v>27795.360000000001</v>
      </c>
      <c r="G1059">
        <v>38</v>
      </c>
      <c r="H1059">
        <v>44</v>
      </c>
      <c r="I1059">
        <v>17665.009999999998</v>
      </c>
      <c r="J1059">
        <v>5818.78</v>
      </c>
      <c r="K1059">
        <v>0</v>
      </c>
      <c r="L1059">
        <v>2025</v>
      </c>
    </row>
    <row r="1060" spans="1:12" x14ac:dyDescent="0.25">
      <c r="A1060" s="1" t="s">
        <v>1094</v>
      </c>
      <c r="B1060" s="1" t="s">
        <v>15</v>
      </c>
      <c r="C1060">
        <v>71</v>
      </c>
      <c r="D1060" s="1" t="s">
        <v>20</v>
      </c>
      <c r="E1060">
        <v>86490.98</v>
      </c>
      <c r="F1060">
        <v>65239.83</v>
      </c>
      <c r="G1060">
        <v>72</v>
      </c>
      <c r="H1060">
        <v>27</v>
      </c>
      <c r="I1060">
        <v>16836.22</v>
      </c>
      <c r="J1060">
        <v>10957.03</v>
      </c>
      <c r="K1060">
        <v>0</v>
      </c>
      <c r="L1060">
        <v>2025</v>
      </c>
    </row>
    <row r="1061" spans="1:12" x14ac:dyDescent="0.25">
      <c r="A1061" s="1" t="s">
        <v>1095</v>
      </c>
      <c r="B1061" s="1" t="s">
        <v>14</v>
      </c>
      <c r="C1061">
        <v>9</v>
      </c>
      <c r="D1061" s="1" t="s">
        <v>20</v>
      </c>
      <c r="E1061">
        <v>13089.43</v>
      </c>
      <c r="F1061">
        <v>8790.9</v>
      </c>
      <c r="G1061">
        <v>18</v>
      </c>
      <c r="H1061">
        <v>5</v>
      </c>
      <c r="I1061">
        <v>92689.03</v>
      </c>
      <c r="J1061">
        <v>3316.75</v>
      </c>
      <c r="K1061">
        <v>0</v>
      </c>
      <c r="L1061">
        <v>2025</v>
      </c>
    </row>
    <row r="1062" spans="1:12" x14ac:dyDescent="0.25">
      <c r="A1062" s="1" t="s">
        <v>1096</v>
      </c>
      <c r="B1062" s="1" t="s">
        <v>16</v>
      </c>
      <c r="C1062">
        <v>110</v>
      </c>
      <c r="D1062" s="1" t="s">
        <v>20</v>
      </c>
      <c r="E1062">
        <v>91714.38</v>
      </c>
      <c r="F1062">
        <v>63586.559999999998</v>
      </c>
      <c r="G1062">
        <v>24</v>
      </c>
      <c r="H1062">
        <v>5</v>
      </c>
      <c r="I1062">
        <v>0</v>
      </c>
      <c r="J1062">
        <v>1588.37</v>
      </c>
      <c r="K1062">
        <v>1</v>
      </c>
      <c r="L1062">
        <v>2025</v>
      </c>
    </row>
    <row r="1063" spans="1:12" x14ac:dyDescent="0.25">
      <c r="A1063" s="1" t="s">
        <v>1097</v>
      </c>
      <c r="B1063" s="1" t="s">
        <v>12</v>
      </c>
      <c r="C1063">
        <v>63</v>
      </c>
      <c r="D1063" s="1" t="s">
        <v>20</v>
      </c>
      <c r="E1063">
        <v>54556.23</v>
      </c>
      <c r="F1063">
        <v>31805.52</v>
      </c>
      <c r="G1063">
        <v>68</v>
      </c>
      <c r="H1063">
        <v>16</v>
      </c>
      <c r="I1063">
        <v>39736.69</v>
      </c>
      <c r="J1063">
        <v>9646.93</v>
      </c>
      <c r="K1063">
        <v>1</v>
      </c>
      <c r="L1063">
        <v>2025</v>
      </c>
    </row>
    <row r="1064" spans="1:12" x14ac:dyDescent="0.25">
      <c r="A1064" s="1" t="s">
        <v>1098</v>
      </c>
      <c r="B1064" s="1" t="s">
        <v>15</v>
      </c>
      <c r="C1064">
        <v>90</v>
      </c>
      <c r="D1064" s="1" t="s">
        <v>20</v>
      </c>
      <c r="E1064">
        <v>102476.54</v>
      </c>
      <c r="F1064">
        <v>77405.820000000007</v>
      </c>
      <c r="G1064">
        <v>21</v>
      </c>
      <c r="H1064">
        <v>16</v>
      </c>
      <c r="I1064">
        <v>37514.19</v>
      </c>
      <c r="J1064">
        <v>0</v>
      </c>
      <c r="K1064">
        <v>0</v>
      </c>
      <c r="L1064">
        <v>2025</v>
      </c>
    </row>
    <row r="1065" spans="1:12" x14ac:dyDescent="0.25">
      <c r="A1065" s="1" t="s">
        <v>1099</v>
      </c>
      <c r="B1065" s="1" t="s">
        <v>16</v>
      </c>
      <c r="C1065">
        <v>110</v>
      </c>
      <c r="D1065" s="1" t="s">
        <v>20</v>
      </c>
      <c r="E1065">
        <v>83700.100000000006</v>
      </c>
      <c r="F1065">
        <v>51318.12</v>
      </c>
      <c r="G1065">
        <v>34</v>
      </c>
      <c r="H1065">
        <v>0</v>
      </c>
      <c r="I1065">
        <v>22299.53</v>
      </c>
      <c r="J1065">
        <v>0</v>
      </c>
      <c r="K1065">
        <v>0</v>
      </c>
      <c r="L1065">
        <v>2025</v>
      </c>
    </row>
    <row r="1066" spans="1:12" x14ac:dyDescent="0.25">
      <c r="A1066" s="1" t="s">
        <v>1100</v>
      </c>
      <c r="B1066" s="1" t="s">
        <v>15</v>
      </c>
      <c r="C1066">
        <v>44</v>
      </c>
      <c r="D1066" s="1" t="s">
        <v>20</v>
      </c>
      <c r="E1066">
        <v>52796.08</v>
      </c>
      <c r="F1066">
        <v>32332.21</v>
      </c>
      <c r="G1066">
        <v>38</v>
      </c>
      <c r="H1066">
        <v>32</v>
      </c>
      <c r="I1066">
        <v>8075.3</v>
      </c>
      <c r="J1066">
        <v>2897.83</v>
      </c>
      <c r="K1066">
        <v>0</v>
      </c>
      <c r="L1066">
        <v>2025</v>
      </c>
    </row>
    <row r="1067" spans="1:12" x14ac:dyDescent="0.25">
      <c r="A1067" s="1" t="s">
        <v>1101</v>
      </c>
      <c r="B1067" s="1" t="s">
        <v>14</v>
      </c>
      <c r="C1067">
        <v>11</v>
      </c>
      <c r="D1067" s="1" t="s">
        <v>20</v>
      </c>
      <c r="E1067">
        <v>10864.71</v>
      </c>
      <c r="F1067">
        <v>10584.89</v>
      </c>
      <c r="G1067">
        <v>23</v>
      </c>
      <c r="H1067">
        <v>23</v>
      </c>
      <c r="I1067">
        <v>30508.12</v>
      </c>
      <c r="J1067">
        <v>4999.28</v>
      </c>
      <c r="K1067">
        <v>0</v>
      </c>
      <c r="L1067">
        <v>2025</v>
      </c>
    </row>
    <row r="1068" spans="1:12" x14ac:dyDescent="0.25">
      <c r="A1068" s="1" t="s">
        <v>1102</v>
      </c>
      <c r="B1068" s="1" t="s">
        <v>12</v>
      </c>
      <c r="C1068">
        <v>96</v>
      </c>
      <c r="D1068" s="1" t="s">
        <v>20</v>
      </c>
      <c r="E1068">
        <v>87795.34</v>
      </c>
      <c r="F1068">
        <v>61500.88</v>
      </c>
      <c r="G1068">
        <v>31</v>
      </c>
      <c r="H1068">
        <v>47</v>
      </c>
      <c r="I1068">
        <v>23715.1</v>
      </c>
      <c r="J1068">
        <v>0</v>
      </c>
      <c r="K1068">
        <v>0</v>
      </c>
      <c r="L1068">
        <v>2025</v>
      </c>
    </row>
    <row r="1069" spans="1:12" x14ac:dyDescent="0.25">
      <c r="A1069" s="1" t="s">
        <v>1103</v>
      </c>
      <c r="B1069" s="1" t="s">
        <v>17</v>
      </c>
      <c r="C1069">
        <v>27</v>
      </c>
      <c r="D1069" s="1" t="s">
        <v>20</v>
      </c>
      <c r="E1069">
        <v>7225.75</v>
      </c>
      <c r="F1069">
        <v>5344.67</v>
      </c>
      <c r="G1069">
        <v>23</v>
      </c>
      <c r="H1069">
        <v>38</v>
      </c>
      <c r="I1069">
        <v>42801.27</v>
      </c>
      <c r="J1069">
        <v>7741.29</v>
      </c>
      <c r="K1069">
        <v>0</v>
      </c>
      <c r="L1069">
        <v>2025</v>
      </c>
    </row>
    <row r="1070" spans="1:12" x14ac:dyDescent="0.25">
      <c r="A1070" s="1" t="s">
        <v>1104</v>
      </c>
      <c r="B1070" s="1" t="s">
        <v>18</v>
      </c>
      <c r="C1070">
        <v>88</v>
      </c>
      <c r="D1070" s="1" t="s">
        <v>20</v>
      </c>
      <c r="E1070">
        <v>82110.490000000005</v>
      </c>
      <c r="F1070">
        <v>66743.88</v>
      </c>
      <c r="G1070">
        <v>29</v>
      </c>
      <c r="H1070">
        <v>36</v>
      </c>
      <c r="I1070">
        <v>45994.91</v>
      </c>
      <c r="J1070">
        <v>633</v>
      </c>
      <c r="K1070">
        <v>0</v>
      </c>
      <c r="L1070">
        <v>2025</v>
      </c>
    </row>
    <row r="1071" spans="1:12" x14ac:dyDescent="0.25">
      <c r="A1071" s="1" t="s">
        <v>1105</v>
      </c>
      <c r="B1071" s="1" t="s">
        <v>14</v>
      </c>
      <c r="C1071">
        <v>91</v>
      </c>
      <c r="D1071" s="1" t="s">
        <v>20</v>
      </c>
      <c r="E1071">
        <v>84452.46</v>
      </c>
      <c r="F1071">
        <v>57084.4</v>
      </c>
      <c r="G1071">
        <v>54</v>
      </c>
      <c r="H1071">
        <v>19</v>
      </c>
      <c r="I1071">
        <v>31524.74</v>
      </c>
      <c r="J1071">
        <v>10845.67</v>
      </c>
      <c r="K1071">
        <v>0</v>
      </c>
      <c r="L1071">
        <v>2025</v>
      </c>
    </row>
    <row r="1072" spans="1:12" x14ac:dyDescent="0.25">
      <c r="A1072" s="1" t="s">
        <v>1106</v>
      </c>
      <c r="B1072" s="1" t="s">
        <v>16</v>
      </c>
      <c r="C1072">
        <v>96</v>
      </c>
      <c r="D1072" s="1" t="s">
        <v>20</v>
      </c>
      <c r="E1072">
        <v>87230.88</v>
      </c>
      <c r="F1072">
        <v>87321.19</v>
      </c>
      <c r="G1072">
        <v>69</v>
      </c>
      <c r="H1072">
        <v>27</v>
      </c>
      <c r="I1072">
        <v>20981.89</v>
      </c>
      <c r="J1072">
        <v>6505.82</v>
      </c>
      <c r="K1072">
        <v>0</v>
      </c>
      <c r="L1072">
        <v>2025</v>
      </c>
    </row>
    <row r="1073" spans="1:12" x14ac:dyDescent="0.25">
      <c r="A1073" s="1" t="s">
        <v>1107</v>
      </c>
      <c r="B1073" s="1" t="s">
        <v>12</v>
      </c>
      <c r="C1073">
        <v>63</v>
      </c>
      <c r="D1073" s="1" t="s">
        <v>20</v>
      </c>
      <c r="E1073">
        <v>64436.69</v>
      </c>
      <c r="F1073">
        <v>66008.91</v>
      </c>
      <c r="G1073">
        <v>66</v>
      </c>
      <c r="H1073">
        <v>0</v>
      </c>
      <c r="I1073">
        <v>41641.39</v>
      </c>
      <c r="J1073">
        <v>2624.69</v>
      </c>
      <c r="K1073">
        <v>0</v>
      </c>
      <c r="L1073">
        <v>2025</v>
      </c>
    </row>
    <row r="1074" spans="1:12" x14ac:dyDescent="0.25">
      <c r="A1074" s="1" t="s">
        <v>1108</v>
      </c>
      <c r="B1074" s="1" t="s">
        <v>16</v>
      </c>
      <c r="C1074">
        <v>115</v>
      </c>
      <c r="D1074" s="1" t="s">
        <v>20</v>
      </c>
      <c r="E1074">
        <v>83104.240000000005</v>
      </c>
      <c r="F1074">
        <v>52323.72</v>
      </c>
      <c r="G1074">
        <v>46</v>
      </c>
      <c r="H1074">
        <v>13</v>
      </c>
      <c r="I1074">
        <v>47024.65</v>
      </c>
      <c r="J1074">
        <v>7397.19</v>
      </c>
      <c r="K1074">
        <v>0</v>
      </c>
      <c r="L1074">
        <v>2025</v>
      </c>
    </row>
    <row r="1075" spans="1:12" x14ac:dyDescent="0.25">
      <c r="A1075" s="1" t="s">
        <v>1109</v>
      </c>
      <c r="B1075" s="1" t="s">
        <v>12</v>
      </c>
      <c r="C1075">
        <v>77</v>
      </c>
      <c r="D1075" s="1" t="s">
        <v>20</v>
      </c>
      <c r="E1075">
        <v>71273.72</v>
      </c>
      <c r="F1075">
        <v>75710.61</v>
      </c>
      <c r="G1075">
        <v>13</v>
      </c>
      <c r="H1075">
        <v>24</v>
      </c>
      <c r="I1075">
        <v>41737.339999999997</v>
      </c>
      <c r="J1075">
        <v>12183.39</v>
      </c>
      <c r="K1075">
        <v>0</v>
      </c>
      <c r="L1075">
        <v>2025</v>
      </c>
    </row>
    <row r="1076" spans="1:12" x14ac:dyDescent="0.25">
      <c r="A1076" s="1" t="s">
        <v>1110</v>
      </c>
      <c r="B1076" s="1" t="s">
        <v>12</v>
      </c>
      <c r="C1076">
        <v>50</v>
      </c>
      <c r="D1076" s="1" t="s">
        <v>20</v>
      </c>
      <c r="E1076">
        <v>64711.12</v>
      </c>
      <c r="F1076">
        <v>45126.62</v>
      </c>
      <c r="G1076">
        <v>37</v>
      </c>
      <c r="H1076">
        <v>16</v>
      </c>
      <c r="I1076">
        <v>86871.93</v>
      </c>
      <c r="J1076">
        <v>2377.1</v>
      </c>
      <c r="K1076">
        <v>1</v>
      </c>
      <c r="L1076">
        <v>2025</v>
      </c>
    </row>
    <row r="1077" spans="1:12" x14ac:dyDescent="0.25">
      <c r="A1077" s="1" t="s">
        <v>1111</v>
      </c>
      <c r="B1077" s="1" t="s">
        <v>15</v>
      </c>
      <c r="C1077">
        <v>83</v>
      </c>
      <c r="D1077" s="1" t="s">
        <v>20</v>
      </c>
      <c r="E1077">
        <v>74932.929999999993</v>
      </c>
      <c r="F1077">
        <v>51683.68</v>
      </c>
      <c r="G1077">
        <v>42</v>
      </c>
      <c r="H1077">
        <v>41</v>
      </c>
      <c r="I1077">
        <v>49754.9</v>
      </c>
      <c r="J1077">
        <v>0</v>
      </c>
      <c r="K1077">
        <v>1</v>
      </c>
      <c r="L1077">
        <v>2025</v>
      </c>
    </row>
    <row r="1078" spans="1:12" x14ac:dyDescent="0.25">
      <c r="A1078" s="1" t="s">
        <v>1112</v>
      </c>
      <c r="B1078" s="1" t="s">
        <v>18</v>
      </c>
      <c r="C1078">
        <v>42</v>
      </c>
      <c r="D1078" s="1" t="s">
        <v>20</v>
      </c>
      <c r="E1078">
        <v>46652.36</v>
      </c>
      <c r="F1078">
        <v>48409.18</v>
      </c>
      <c r="G1078">
        <v>46</v>
      </c>
      <c r="H1078">
        <v>14</v>
      </c>
      <c r="I1078">
        <v>61621.120000000003</v>
      </c>
      <c r="J1078">
        <v>3516.85</v>
      </c>
      <c r="K1078">
        <v>1</v>
      </c>
      <c r="L1078">
        <v>2025</v>
      </c>
    </row>
    <row r="1079" spans="1:12" x14ac:dyDescent="0.25">
      <c r="A1079" s="1" t="s">
        <v>1113</v>
      </c>
      <c r="B1079" s="1" t="s">
        <v>14</v>
      </c>
      <c r="C1079">
        <v>90</v>
      </c>
      <c r="D1079" s="1" t="s">
        <v>20</v>
      </c>
      <c r="E1079">
        <v>81128.100000000006</v>
      </c>
      <c r="F1079">
        <v>60742.080000000002</v>
      </c>
      <c r="G1079">
        <v>31</v>
      </c>
      <c r="H1079">
        <v>30</v>
      </c>
      <c r="I1079">
        <v>33657.82</v>
      </c>
      <c r="J1079">
        <v>5193.92</v>
      </c>
      <c r="K1079">
        <v>0</v>
      </c>
      <c r="L1079">
        <v>2025</v>
      </c>
    </row>
    <row r="1080" spans="1:12" x14ac:dyDescent="0.25">
      <c r="A1080" s="1" t="s">
        <v>1114</v>
      </c>
      <c r="B1080" s="1" t="s">
        <v>17</v>
      </c>
      <c r="C1080">
        <v>26</v>
      </c>
      <c r="D1080" s="1" t="s">
        <v>20</v>
      </c>
      <c r="E1080">
        <v>35296.1</v>
      </c>
      <c r="F1080">
        <v>37177.26</v>
      </c>
      <c r="G1080">
        <v>30</v>
      </c>
      <c r="H1080">
        <v>10</v>
      </c>
      <c r="I1080">
        <v>0</v>
      </c>
      <c r="J1080">
        <v>4521.3599999999997</v>
      </c>
      <c r="K1080">
        <v>0</v>
      </c>
      <c r="L1080">
        <v>2025</v>
      </c>
    </row>
    <row r="1081" spans="1:12" x14ac:dyDescent="0.25">
      <c r="A1081" s="1" t="s">
        <v>1115</v>
      </c>
      <c r="B1081" s="1" t="s">
        <v>12</v>
      </c>
      <c r="C1081">
        <v>109</v>
      </c>
      <c r="D1081" s="1" t="s">
        <v>20</v>
      </c>
      <c r="E1081">
        <v>87740.9</v>
      </c>
      <c r="F1081">
        <v>81669.3</v>
      </c>
      <c r="G1081">
        <v>49</v>
      </c>
      <c r="H1081">
        <v>0</v>
      </c>
      <c r="I1081">
        <v>32909.06</v>
      </c>
      <c r="J1081">
        <v>0</v>
      </c>
      <c r="K1081">
        <v>0</v>
      </c>
      <c r="L1081">
        <v>2025</v>
      </c>
    </row>
    <row r="1082" spans="1:12" x14ac:dyDescent="0.25">
      <c r="A1082" s="1" t="s">
        <v>1116</v>
      </c>
      <c r="B1082" s="1" t="s">
        <v>16</v>
      </c>
      <c r="C1082">
        <v>47</v>
      </c>
      <c r="D1082" s="1" t="s">
        <v>20</v>
      </c>
      <c r="E1082">
        <v>47878.84</v>
      </c>
      <c r="F1082">
        <v>45301.46</v>
      </c>
      <c r="G1082">
        <v>42</v>
      </c>
      <c r="H1082">
        <v>60</v>
      </c>
      <c r="I1082">
        <v>0</v>
      </c>
      <c r="J1082">
        <v>5498.28</v>
      </c>
      <c r="K1082">
        <v>0</v>
      </c>
      <c r="L1082">
        <v>2025</v>
      </c>
    </row>
    <row r="1083" spans="1:12" x14ac:dyDescent="0.25">
      <c r="A1083" s="1" t="s">
        <v>1117</v>
      </c>
      <c r="B1083" s="1" t="s">
        <v>16</v>
      </c>
      <c r="C1083">
        <v>84</v>
      </c>
      <c r="D1083" s="1" t="s">
        <v>20</v>
      </c>
      <c r="E1083">
        <v>74084.570000000007</v>
      </c>
      <c r="F1083">
        <v>56518.7</v>
      </c>
      <c r="G1083">
        <v>33</v>
      </c>
      <c r="H1083">
        <v>43</v>
      </c>
      <c r="I1083">
        <v>27991.98</v>
      </c>
      <c r="J1083">
        <v>1332.92</v>
      </c>
      <c r="K1083">
        <v>0</v>
      </c>
      <c r="L1083">
        <v>2025</v>
      </c>
    </row>
    <row r="1084" spans="1:12" x14ac:dyDescent="0.25">
      <c r="A1084" s="1" t="s">
        <v>1118</v>
      </c>
      <c r="B1084" s="1" t="s">
        <v>18</v>
      </c>
      <c r="C1084">
        <v>89</v>
      </c>
      <c r="D1084" s="1" t="s">
        <v>20</v>
      </c>
      <c r="E1084">
        <v>76361.039999999994</v>
      </c>
      <c r="F1084">
        <v>57332.4</v>
      </c>
      <c r="G1084">
        <v>40</v>
      </c>
      <c r="H1084">
        <v>10</v>
      </c>
      <c r="I1084">
        <v>33401.94</v>
      </c>
      <c r="J1084">
        <v>9763.99</v>
      </c>
      <c r="K1084">
        <v>0</v>
      </c>
      <c r="L1084">
        <v>2025</v>
      </c>
    </row>
    <row r="1085" spans="1:12" x14ac:dyDescent="0.25">
      <c r="A1085" s="1" t="s">
        <v>1119</v>
      </c>
      <c r="B1085" s="1" t="s">
        <v>15</v>
      </c>
      <c r="C1085">
        <v>34</v>
      </c>
      <c r="D1085" s="1" t="s">
        <v>20</v>
      </c>
      <c r="E1085">
        <v>14720.05</v>
      </c>
      <c r="F1085">
        <v>10612.13</v>
      </c>
      <c r="G1085">
        <v>39</v>
      </c>
      <c r="H1085">
        <v>6</v>
      </c>
      <c r="I1085">
        <v>30435.14</v>
      </c>
      <c r="J1085">
        <v>13.93</v>
      </c>
      <c r="K1085">
        <v>0</v>
      </c>
      <c r="L1085">
        <v>2025</v>
      </c>
    </row>
    <row r="1086" spans="1:12" x14ac:dyDescent="0.25">
      <c r="A1086" s="1" t="s">
        <v>32</v>
      </c>
      <c r="B1086" s="1" t="s">
        <v>14</v>
      </c>
      <c r="C1086">
        <v>96</v>
      </c>
      <c r="D1086" s="1" t="s">
        <v>20</v>
      </c>
      <c r="E1086">
        <v>94136.2</v>
      </c>
      <c r="F1086">
        <v>93902.74</v>
      </c>
      <c r="G1086">
        <v>62</v>
      </c>
      <c r="H1086">
        <v>33</v>
      </c>
      <c r="I1086">
        <v>62612.22</v>
      </c>
      <c r="J1086">
        <v>0</v>
      </c>
      <c r="K1086">
        <v>0</v>
      </c>
      <c r="L1086">
        <v>2025</v>
      </c>
    </row>
    <row r="1087" spans="1:12" x14ac:dyDescent="0.25">
      <c r="A1087" s="1" t="s">
        <v>1120</v>
      </c>
      <c r="B1087" s="1" t="s">
        <v>15</v>
      </c>
      <c r="C1087">
        <v>102</v>
      </c>
      <c r="D1087" s="1" t="s">
        <v>20</v>
      </c>
      <c r="E1087">
        <v>71969.759999999995</v>
      </c>
      <c r="F1087">
        <v>77114.850000000006</v>
      </c>
      <c r="G1087">
        <v>17</v>
      </c>
      <c r="H1087">
        <v>33</v>
      </c>
      <c r="I1087">
        <v>22065.37</v>
      </c>
      <c r="J1087">
        <v>0</v>
      </c>
      <c r="K1087">
        <v>0</v>
      </c>
      <c r="L1087">
        <v>2025</v>
      </c>
    </row>
    <row r="1088" spans="1:12" x14ac:dyDescent="0.25">
      <c r="A1088" s="1" t="s">
        <v>1121</v>
      </c>
      <c r="B1088" s="1" t="s">
        <v>18</v>
      </c>
      <c r="C1088">
        <v>86</v>
      </c>
      <c r="D1088" s="1" t="s">
        <v>20</v>
      </c>
      <c r="E1088">
        <v>73055.61</v>
      </c>
      <c r="F1088">
        <v>60636.55</v>
      </c>
      <c r="G1088">
        <v>42</v>
      </c>
      <c r="H1088">
        <v>15</v>
      </c>
      <c r="I1088">
        <v>38218.800000000003</v>
      </c>
      <c r="J1088">
        <v>0</v>
      </c>
      <c r="K1088">
        <v>0</v>
      </c>
      <c r="L1088">
        <v>2025</v>
      </c>
    </row>
    <row r="1089" spans="1:12" x14ac:dyDescent="0.25">
      <c r="A1089" s="1" t="s">
        <v>1122</v>
      </c>
      <c r="B1089" s="1" t="s">
        <v>18</v>
      </c>
      <c r="C1089">
        <v>94</v>
      </c>
      <c r="D1089" s="1" t="s">
        <v>20</v>
      </c>
      <c r="E1089">
        <v>79914.710000000006</v>
      </c>
      <c r="F1089">
        <v>79913.19</v>
      </c>
      <c r="G1089">
        <v>10</v>
      </c>
      <c r="H1089">
        <v>54</v>
      </c>
      <c r="I1089">
        <v>19605.560000000001</v>
      </c>
      <c r="J1089">
        <v>9285.76</v>
      </c>
      <c r="K1089">
        <v>1</v>
      </c>
      <c r="L1089">
        <v>2025</v>
      </c>
    </row>
    <row r="1090" spans="1:12" x14ac:dyDescent="0.25">
      <c r="A1090" s="1" t="s">
        <v>1123</v>
      </c>
      <c r="B1090" s="1" t="s">
        <v>12</v>
      </c>
      <c r="C1090">
        <v>101</v>
      </c>
      <c r="D1090" s="1" t="s">
        <v>20</v>
      </c>
      <c r="E1090">
        <v>95908.11</v>
      </c>
      <c r="F1090">
        <v>90398.59</v>
      </c>
      <c r="G1090">
        <v>38</v>
      </c>
      <c r="H1090">
        <v>9</v>
      </c>
      <c r="I1090">
        <v>45513.4</v>
      </c>
      <c r="J1090">
        <v>4075.64</v>
      </c>
      <c r="K1090">
        <v>0</v>
      </c>
      <c r="L1090">
        <v>2025</v>
      </c>
    </row>
    <row r="1091" spans="1:12" x14ac:dyDescent="0.25">
      <c r="A1091" s="1" t="s">
        <v>1124</v>
      </c>
      <c r="B1091" s="1" t="s">
        <v>12</v>
      </c>
      <c r="C1091">
        <v>82</v>
      </c>
      <c r="D1091" s="1" t="s">
        <v>20</v>
      </c>
      <c r="E1091">
        <v>61269.22</v>
      </c>
      <c r="F1091">
        <v>53602.85</v>
      </c>
      <c r="G1091">
        <v>53</v>
      </c>
      <c r="H1091">
        <v>23</v>
      </c>
      <c r="I1091">
        <v>44829.99</v>
      </c>
      <c r="J1091">
        <v>6288.94</v>
      </c>
      <c r="K1091">
        <v>0</v>
      </c>
      <c r="L1091">
        <v>2025</v>
      </c>
    </row>
    <row r="1092" spans="1:12" x14ac:dyDescent="0.25">
      <c r="A1092" s="1" t="s">
        <v>1125</v>
      </c>
      <c r="B1092" s="1" t="s">
        <v>16</v>
      </c>
      <c r="C1092">
        <v>42</v>
      </c>
      <c r="D1092" s="1" t="s">
        <v>20</v>
      </c>
      <c r="E1092">
        <v>40368.199999999997</v>
      </c>
      <c r="F1092">
        <v>38151.949999999997</v>
      </c>
      <c r="G1092">
        <v>50</v>
      </c>
      <c r="H1092">
        <v>24</v>
      </c>
      <c r="I1092">
        <v>0</v>
      </c>
      <c r="J1092">
        <v>0</v>
      </c>
      <c r="K1092">
        <v>0</v>
      </c>
      <c r="L1092">
        <v>2025</v>
      </c>
    </row>
    <row r="1093" spans="1:12" x14ac:dyDescent="0.25">
      <c r="A1093" s="1" t="s">
        <v>1126</v>
      </c>
      <c r="B1093" s="1" t="s">
        <v>17</v>
      </c>
      <c r="C1093">
        <v>71</v>
      </c>
      <c r="D1093" s="1" t="s">
        <v>20</v>
      </c>
      <c r="E1093">
        <v>67749.47</v>
      </c>
      <c r="F1093">
        <v>61313.85</v>
      </c>
      <c r="G1093">
        <v>78</v>
      </c>
      <c r="H1093">
        <v>4</v>
      </c>
      <c r="I1093">
        <v>6775.91</v>
      </c>
      <c r="J1093">
        <v>0</v>
      </c>
      <c r="K1093">
        <v>0</v>
      </c>
      <c r="L1093">
        <v>2025</v>
      </c>
    </row>
    <row r="1094" spans="1:12" x14ac:dyDescent="0.25">
      <c r="A1094" s="1" t="s">
        <v>1127</v>
      </c>
      <c r="B1094" s="1" t="s">
        <v>18</v>
      </c>
      <c r="C1094">
        <v>57</v>
      </c>
      <c r="D1094" s="1" t="s">
        <v>20</v>
      </c>
      <c r="E1094">
        <v>42815.87</v>
      </c>
      <c r="F1094">
        <v>34138.75</v>
      </c>
      <c r="G1094">
        <v>41</v>
      </c>
      <c r="H1094">
        <v>24</v>
      </c>
      <c r="I1094">
        <v>50971.64</v>
      </c>
      <c r="J1094">
        <v>7637.01</v>
      </c>
      <c r="K1094">
        <v>0</v>
      </c>
      <c r="L1094">
        <v>2025</v>
      </c>
    </row>
    <row r="1095" spans="1:12" x14ac:dyDescent="0.25">
      <c r="A1095" s="1" t="s">
        <v>1128</v>
      </c>
      <c r="B1095" s="1" t="s">
        <v>12</v>
      </c>
      <c r="C1095">
        <v>33</v>
      </c>
      <c r="D1095" s="1" t="s">
        <v>20</v>
      </c>
      <c r="E1095">
        <v>37731.67</v>
      </c>
      <c r="F1095">
        <v>36548.35</v>
      </c>
      <c r="G1095">
        <v>28</v>
      </c>
      <c r="H1095">
        <v>14</v>
      </c>
      <c r="I1095">
        <v>0</v>
      </c>
      <c r="J1095">
        <v>3120.96</v>
      </c>
      <c r="K1095">
        <v>0</v>
      </c>
      <c r="L1095">
        <v>2025</v>
      </c>
    </row>
    <row r="1096" spans="1:12" x14ac:dyDescent="0.25">
      <c r="A1096" s="1" t="s">
        <v>1129</v>
      </c>
      <c r="B1096" s="1" t="s">
        <v>17</v>
      </c>
      <c r="C1096">
        <v>57</v>
      </c>
      <c r="D1096" s="1" t="s">
        <v>20</v>
      </c>
      <c r="E1096">
        <v>44069.58</v>
      </c>
      <c r="F1096">
        <v>26690</v>
      </c>
      <c r="G1096">
        <v>52</v>
      </c>
      <c r="H1096">
        <v>50</v>
      </c>
      <c r="I1096">
        <v>52417.8</v>
      </c>
      <c r="J1096">
        <v>8312.2800000000007</v>
      </c>
      <c r="K1096">
        <v>1</v>
      </c>
      <c r="L1096">
        <v>2025</v>
      </c>
    </row>
    <row r="1097" spans="1:12" x14ac:dyDescent="0.25">
      <c r="A1097" s="1" t="s">
        <v>1130</v>
      </c>
      <c r="B1097" s="1" t="s">
        <v>18</v>
      </c>
      <c r="C1097">
        <v>67</v>
      </c>
      <c r="D1097" s="1" t="s">
        <v>20</v>
      </c>
      <c r="E1097">
        <v>57103.040000000001</v>
      </c>
      <c r="F1097">
        <v>38556.1</v>
      </c>
      <c r="G1097">
        <v>30</v>
      </c>
      <c r="H1097">
        <v>40</v>
      </c>
      <c r="I1097">
        <v>74954.350000000006</v>
      </c>
      <c r="J1097">
        <v>0</v>
      </c>
      <c r="K1097">
        <v>0</v>
      </c>
      <c r="L1097">
        <v>2025</v>
      </c>
    </row>
    <row r="1098" spans="1:12" x14ac:dyDescent="0.25">
      <c r="A1098" s="1" t="s">
        <v>1131</v>
      </c>
      <c r="B1098" s="1" t="s">
        <v>17</v>
      </c>
      <c r="C1098">
        <v>79</v>
      </c>
      <c r="D1098" s="1" t="s">
        <v>20</v>
      </c>
      <c r="E1098">
        <v>53902.11</v>
      </c>
      <c r="F1098">
        <v>48602.49</v>
      </c>
      <c r="G1098">
        <v>28</v>
      </c>
      <c r="H1098">
        <v>14</v>
      </c>
      <c r="I1098">
        <v>37683.51</v>
      </c>
      <c r="J1098">
        <v>8515.52</v>
      </c>
      <c r="K1098">
        <v>0</v>
      </c>
      <c r="L1098">
        <v>2025</v>
      </c>
    </row>
    <row r="1099" spans="1:12" x14ac:dyDescent="0.25">
      <c r="A1099" s="1" t="s">
        <v>1132</v>
      </c>
      <c r="B1099" s="1" t="s">
        <v>17</v>
      </c>
      <c r="C1099">
        <v>111</v>
      </c>
      <c r="D1099" s="1" t="s">
        <v>20</v>
      </c>
      <c r="E1099">
        <v>97804.07</v>
      </c>
      <c r="F1099">
        <v>76472.649999999994</v>
      </c>
      <c r="G1099">
        <v>39</v>
      </c>
      <c r="H1099">
        <v>30</v>
      </c>
      <c r="I1099">
        <v>0</v>
      </c>
      <c r="J1099">
        <v>0</v>
      </c>
      <c r="K1099">
        <v>0</v>
      </c>
      <c r="L1099">
        <v>2025</v>
      </c>
    </row>
    <row r="1100" spans="1:12" x14ac:dyDescent="0.25">
      <c r="A1100" s="1" t="s">
        <v>1133</v>
      </c>
      <c r="B1100" s="1" t="s">
        <v>14</v>
      </c>
      <c r="C1100">
        <v>106</v>
      </c>
      <c r="D1100" s="1" t="s">
        <v>20</v>
      </c>
      <c r="E1100">
        <v>85038.42</v>
      </c>
      <c r="F1100">
        <v>54150.23</v>
      </c>
      <c r="G1100">
        <v>29</v>
      </c>
      <c r="H1100">
        <v>19</v>
      </c>
      <c r="I1100">
        <v>31168.400000000001</v>
      </c>
      <c r="J1100">
        <v>11480.55</v>
      </c>
      <c r="K1100">
        <v>0</v>
      </c>
      <c r="L1100">
        <v>2025</v>
      </c>
    </row>
    <row r="1101" spans="1:12" x14ac:dyDescent="0.25">
      <c r="A1101" s="1" t="s">
        <v>1134</v>
      </c>
      <c r="B1101" s="1" t="s">
        <v>14</v>
      </c>
      <c r="C1101">
        <v>4</v>
      </c>
      <c r="D1101" s="1" t="s">
        <v>20</v>
      </c>
      <c r="E1101">
        <v>21135.119999999999</v>
      </c>
      <c r="F1101">
        <v>15885.26</v>
      </c>
      <c r="G1101">
        <v>51</v>
      </c>
      <c r="H1101">
        <v>26</v>
      </c>
      <c r="I1101">
        <v>17680.43</v>
      </c>
      <c r="J1101">
        <v>1763.85</v>
      </c>
      <c r="K1101">
        <v>0</v>
      </c>
      <c r="L1101">
        <v>2025</v>
      </c>
    </row>
    <row r="1102" spans="1:12" x14ac:dyDescent="0.25">
      <c r="A1102" s="1" t="s">
        <v>1135</v>
      </c>
      <c r="B1102" s="1" t="s">
        <v>15</v>
      </c>
      <c r="C1102">
        <v>19</v>
      </c>
      <c r="D1102" s="1" t="s">
        <v>20</v>
      </c>
      <c r="E1102">
        <v>5831.81</v>
      </c>
      <c r="F1102">
        <v>4290.88</v>
      </c>
      <c r="G1102">
        <v>27</v>
      </c>
      <c r="H1102">
        <v>53</v>
      </c>
      <c r="I1102">
        <v>43993.19</v>
      </c>
      <c r="J1102">
        <v>3751.98</v>
      </c>
      <c r="K1102">
        <v>0</v>
      </c>
      <c r="L1102">
        <v>2025</v>
      </c>
    </row>
    <row r="1103" spans="1:12" x14ac:dyDescent="0.25">
      <c r="A1103" s="1" t="s">
        <v>1136</v>
      </c>
      <c r="B1103" s="1" t="s">
        <v>18</v>
      </c>
      <c r="C1103">
        <v>78</v>
      </c>
      <c r="D1103" s="1" t="s">
        <v>20</v>
      </c>
      <c r="E1103">
        <v>55054.81</v>
      </c>
      <c r="F1103">
        <v>44011.47</v>
      </c>
      <c r="G1103">
        <v>40</v>
      </c>
      <c r="H1103">
        <v>15</v>
      </c>
      <c r="I1103">
        <v>24546.44</v>
      </c>
      <c r="J1103">
        <v>8030.22</v>
      </c>
      <c r="K1103">
        <v>0</v>
      </c>
      <c r="L1103">
        <v>2025</v>
      </c>
    </row>
    <row r="1104" spans="1:12" x14ac:dyDescent="0.25">
      <c r="A1104" s="1" t="s">
        <v>1137</v>
      </c>
      <c r="B1104" s="1" t="s">
        <v>16</v>
      </c>
      <c r="C1104">
        <v>42</v>
      </c>
      <c r="D1104" s="1" t="s">
        <v>20</v>
      </c>
      <c r="E1104">
        <v>50394.89</v>
      </c>
      <c r="F1104">
        <v>42570.15</v>
      </c>
      <c r="G1104">
        <v>54</v>
      </c>
      <c r="H1104">
        <v>5</v>
      </c>
      <c r="I1104">
        <v>69575.649999999994</v>
      </c>
      <c r="J1104">
        <v>2141.09</v>
      </c>
      <c r="K1104">
        <v>1</v>
      </c>
      <c r="L1104">
        <v>2025</v>
      </c>
    </row>
    <row r="1105" spans="1:12" x14ac:dyDescent="0.25">
      <c r="A1105" s="1" t="s">
        <v>1138</v>
      </c>
      <c r="B1105" s="1" t="s">
        <v>14</v>
      </c>
      <c r="C1105">
        <v>34</v>
      </c>
      <c r="D1105" s="1" t="s">
        <v>20</v>
      </c>
      <c r="E1105">
        <v>37347.11</v>
      </c>
      <c r="F1105">
        <v>31120.48</v>
      </c>
      <c r="G1105">
        <v>31</v>
      </c>
      <c r="H1105">
        <v>0</v>
      </c>
      <c r="I1105">
        <v>31549.29</v>
      </c>
      <c r="J1105">
        <v>5064.5</v>
      </c>
      <c r="K1105">
        <v>0</v>
      </c>
      <c r="L1105">
        <v>2025</v>
      </c>
    </row>
    <row r="1106" spans="1:12" x14ac:dyDescent="0.25">
      <c r="A1106" s="1" t="s">
        <v>1139</v>
      </c>
      <c r="B1106" s="1" t="s">
        <v>12</v>
      </c>
      <c r="C1106">
        <v>61</v>
      </c>
      <c r="D1106" s="1" t="s">
        <v>20</v>
      </c>
      <c r="E1106">
        <v>67319.22</v>
      </c>
      <c r="F1106">
        <v>57236.69</v>
      </c>
      <c r="G1106">
        <v>34</v>
      </c>
      <c r="H1106">
        <v>25</v>
      </c>
      <c r="I1106">
        <v>1809.14</v>
      </c>
      <c r="J1106">
        <v>3751.03</v>
      </c>
      <c r="K1106">
        <v>0</v>
      </c>
      <c r="L1106">
        <v>2025</v>
      </c>
    </row>
    <row r="1107" spans="1:12" x14ac:dyDescent="0.25">
      <c r="A1107" s="1" t="s">
        <v>1140</v>
      </c>
      <c r="B1107" s="1" t="s">
        <v>16</v>
      </c>
      <c r="C1107">
        <v>112</v>
      </c>
      <c r="D1107" s="1" t="s">
        <v>20</v>
      </c>
      <c r="E1107">
        <v>89406.66</v>
      </c>
      <c r="F1107">
        <v>87927.92</v>
      </c>
      <c r="G1107">
        <v>39</v>
      </c>
      <c r="H1107">
        <v>24</v>
      </c>
      <c r="I1107">
        <v>28007.73</v>
      </c>
      <c r="J1107">
        <v>8944.33</v>
      </c>
      <c r="K1107">
        <v>0</v>
      </c>
      <c r="L1107">
        <v>2025</v>
      </c>
    </row>
    <row r="1108" spans="1:12" x14ac:dyDescent="0.25">
      <c r="A1108" s="1" t="s">
        <v>1141</v>
      </c>
      <c r="B1108" s="1" t="s">
        <v>14</v>
      </c>
      <c r="C1108">
        <v>81</v>
      </c>
      <c r="D1108" s="1" t="s">
        <v>20</v>
      </c>
      <c r="E1108">
        <v>69361.8</v>
      </c>
      <c r="F1108">
        <v>44593.65</v>
      </c>
      <c r="G1108">
        <v>54</v>
      </c>
      <c r="H1108">
        <v>39</v>
      </c>
      <c r="I1108">
        <v>35281.660000000003</v>
      </c>
      <c r="J1108">
        <v>0</v>
      </c>
      <c r="K1108">
        <v>1</v>
      </c>
      <c r="L1108">
        <v>2025</v>
      </c>
    </row>
    <row r="1109" spans="1:12" x14ac:dyDescent="0.25">
      <c r="A1109" s="1" t="s">
        <v>1142</v>
      </c>
      <c r="B1109" s="1" t="s">
        <v>17</v>
      </c>
      <c r="C1109">
        <v>106</v>
      </c>
      <c r="D1109" s="1" t="s">
        <v>20</v>
      </c>
      <c r="E1109">
        <v>80690.960000000006</v>
      </c>
      <c r="F1109">
        <v>86134.07</v>
      </c>
      <c r="G1109">
        <v>28</v>
      </c>
      <c r="H1109">
        <v>19</v>
      </c>
      <c r="I1109">
        <v>25457.65</v>
      </c>
      <c r="J1109">
        <v>3511.36</v>
      </c>
      <c r="K1109">
        <v>0</v>
      </c>
      <c r="L1109">
        <v>2025</v>
      </c>
    </row>
    <row r="1110" spans="1:12" x14ac:dyDescent="0.25">
      <c r="A1110" s="1" t="s">
        <v>1143</v>
      </c>
      <c r="B1110" s="1" t="s">
        <v>12</v>
      </c>
      <c r="C1110">
        <v>82</v>
      </c>
      <c r="D1110" s="1" t="s">
        <v>20</v>
      </c>
      <c r="E1110">
        <v>72000.98</v>
      </c>
      <c r="F1110">
        <v>48325.06</v>
      </c>
      <c r="G1110">
        <v>43</v>
      </c>
      <c r="H1110">
        <v>35</v>
      </c>
      <c r="I1110">
        <v>34462.44</v>
      </c>
      <c r="J1110">
        <v>1529.18</v>
      </c>
      <c r="K1110">
        <v>0</v>
      </c>
      <c r="L1110">
        <v>2025</v>
      </c>
    </row>
    <row r="1111" spans="1:12" x14ac:dyDescent="0.25">
      <c r="A1111" s="1" t="s">
        <v>1144</v>
      </c>
      <c r="B1111" s="1" t="s">
        <v>15</v>
      </c>
      <c r="C1111">
        <v>37</v>
      </c>
      <c r="D1111" s="1" t="s">
        <v>20</v>
      </c>
      <c r="E1111">
        <v>37519.89</v>
      </c>
      <c r="F1111">
        <v>35860.22</v>
      </c>
      <c r="G1111">
        <v>38</v>
      </c>
      <c r="H1111">
        <v>33</v>
      </c>
      <c r="I1111">
        <v>39091.39</v>
      </c>
      <c r="J1111">
        <v>5628.18</v>
      </c>
      <c r="K1111">
        <v>0</v>
      </c>
      <c r="L1111">
        <v>2025</v>
      </c>
    </row>
    <row r="1112" spans="1:12" x14ac:dyDescent="0.25">
      <c r="A1112" s="1" t="s">
        <v>1145</v>
      </c>
      <c r="B1112" s="1" t="s">
        <v>12</v>
      </c>
      <c r="C1112">
        <v>76</v>
      </c>
      <c r="D1112" s="1" t="s">
        <v>20</v>
      </c>
      <c r="E1112">
        <v>75780.5</v>
      </c>
      <c r="F1112">
        <v>45975.12</v>
      </c>
      <c r="G1112">
        <v>52</v>
      </c>
      <c r="H1112">
        <v>21</v>
      </c>
      <c r="I1112">
        <v>6205.46</v>
      </c>
      <c r="J1112">
        <v>2802.24</v>
      </c>
      <c r="K1112">
        <v>0</v>
      </c>
      <c r="L1112">
        <v>2025</v>
      </c>
    </row>
    <row r="1113" spans="1:12" x14ac:dyDescent="0.25">
      <c r="A1113" s="1" t="s">
        <v>1146</v>
      </c>
      <c r="B1113" s="1" t="s">
        <v>14</v>
      </c>
      <c r="C1113">
        <v>56</v>
      </c>
      <c r="D1113" s="1" t="s">
        <v>20</v>
      </c>
      <c r="E1113">
        <v>52277.07</v>
      </c>
      <c r="F1113">
        <v>38299.01</v>
      </c>
      <c r="G1113">
        <v>17</v>
      </c>
      <c r="H1113">
        <v>59</v>
      </c>
      <c r="I1113">
        <v>58567.13</v>
      </c>
      <c r="J1113">
        <v>5218.5</v>
      </c>
      <c r="K1113">
        <v>0</v>
      </c>
      <c r="L1113">
        <v>2025</v>
      </c>
    </row>
    <row r="1114" spans="1:12" x14ac:dyDescent="0.25">
      <c r="A1114" s="1" t="s">
        <v>1147</v>
      </c>
      <c r="B1114" s="1" t="s">
        <v>15</v>
      </c>
      <c r="C1114">
        <v>3</v>
      </c>
      <c r="D1114" s="1" t="s">
        <v>20</v>
      </c>
      <c r="E1114">
        <v>20605.97</v>
      </c>
      <c r="F1114">
        <v>14768.76</v>
      </c>
      <c r="G1114">
        <v>24</v>
      </c>
      <c r="H1114">
        <v>24</v>
      </c>
      <c r="I1114">
        <v>43740.69</v>
      </c>
      <c r="J1114">
        <v>0</v>
      </c>
      <c r="K1114">
        <v>0</v>
      </c>
      <c r="L1114">
        <v>2025</v>
      </c>
    </row>
    <row r="1115" spans="1:12" x14ac:dyDescent="0.25">
      <c r="A1115" s="1" t="s">
        <v>1148</v>
      </c>
      <c r="B1115" s="1" t="s">
        <v>15</v>
      </c>
      <c r="C1115">
        <v>24</v>
      </c>
      <c r="D1115" s="1" t="s">
        <v>20</v>
      </c>
      <c r="E1115">
        <v>11155.49</v>
      </c>
      <c r="F1115">
        <v>7301.79</v>
      </c>
      <c r="G1115">
        <v>37</v>
      </c>
      <c r="H1115">
        <v>38</v>
      </c>
      <c r="I1115">
        <v>0</v>
      </c>
      <c r="J1115">
        <v>6044.22</v>
      </c>
      <c r="K1115">
        <v>0</v>
      </c>
      <c r="L1115">
        <v>2025</v>
      </c>
    </row>
    <row r="1116" spans="1:12" x14ac:dyDescent="0.25">
      <c r="A1116" s="1" t="s">
        <v>1149</v>
      </c>
      <c r="B1116" s="1" t="s">
        <v>15</v>
      </c>
      <c r="C1116">
        <v>20</v>
      </c>
      <c r="D1116" s="1" t="s">
        <v>20</v>
      </c>
      <c r="E1116">
        <v>36439.53</v>
      </c>
      <c r="F1116">
        <v>32094.18</v>
      </c>
      <c r="G1116">
        <v>55</v>
      </c>
      <c r="H1116">
        <v>16</v>
      </c>
      <c r="I1116">
        <v>19350.169999999998</v>
      </c>
      <c r="J1116">
        <v>1484.75</v>
      </c>
      <c r="K1116">
        <v>0</v>
      </c>
      <c r="L1116">
        <v>2025</v>
      </c>
    </row>
    <row r="1117" spans="1:12" x14ac:dyDescent="0.25">
      <c r="A1117" s="1" t="s">
        <v>1150</v>
      </c>
      <c r="B1117" s="1" t="s">
        <v>17</v>
      </c>
      <c r="C1117">
        <v>57</v>
      </c>
      <c r="D1117" s="1" t="s">
        <v>20</v>
      </c>
      <c r="E1117">
        <v>59733.72</v>
      </c>
      <c r="F1117">
        <v>50774.21</v>
      </c>
      <c r="G1117">
        <v>43</v>
      </c>
      <c r="H1117">
        <v>11</v>
      </c>
      <c r="I1117">
        <v>7061.35</v>
      </c>
      <c r="J1117">
        <v>5711.1</v>
      </c>
      <c r="K1117">
        <v>0</v>
      </c>
      <c r="L1117">
        <v>2025</v>
      </c>
    </row>
    <row r="1118" spans="1:12" x14ac:dyDescent="0.25">
      <c r="A1118" s="1" t="s">
        <v>1151</v>
      </c>
      <c r="B1118" s="1" t="s">
        <v>15</v>
      </c>
      <c r="C1118">
        <v>70</v>
      </c>
      <c r="D1118" s="1" t="s">
        <v>20</v>
      </c>
      <c r="E1118">
        <v>57980.33</v>
      </c>
      <c r="F1118">
        <v>47466.71</v>
      </c>
      <c r="G1118">
        <v>43</v>
      </c>
      <c r="H1118">
        <v>57</v>
      </c>
      <c r="I1118">
        <v>40571.24</v>
      </c>
      <c r="J1118">
        <v>3946.29</v>
      </c>
      <c r="K1118">
        <v>0</v>
      </c>
      <c r="L1118">
        <v>2025</v>
      </c>
    </row>
    <row r="1119" spans="1:12" x14ac:dyDescent="0.25">
      <c r="A1119" s="1" t="s">
        <v>1152</v>
      </c>
      <c r="B1119" s="1" t="s">
        <v>16</v>
      </c>
      <c r="C1119">
        <v>40</v>
      </c>
      <c r="D1119" s="1" t="s">
        <v>20</v>
      </c>
      <c r="E1119">
        <v>30402.86</v>
      </c>
      <c r="F1119">
        <v>19907.099999999999</v>
      </c>
      <c r="G1119">
        <v>41</v>
      </c>
      <c r="H1119">
        <v>18</v>
      </c>
      <c r="I1119">
        <v>0</v>
      </c>
      <c r="J1119">
        <v>7487.12</v>
      </c>
      <c r="K1119">
        <v>0</v>
      </c>
      <c r="L1119">
        <v>2025</v>
      </c>
    </row>
    <row r="1120" spans="1:12" x14ac:dyDescent="0.25">
      <c r="A1120" s="1" t="s">
        <v>1153</v>
      </c>
      <c r="B1120" s="1" t="s">
        <v>14</v>
      </c>
      <c r="C1120">
        <v>38</v>
      </c>
      <c r="D1120" s="1" t="s">
        <v>20</v>
      </c>
      <c r="E1120">
        <v>37969.050000000003</v>
      </c>
      <c r="F1120">
        <v>25630.35</v>
      </c>
      <c r="G1120">
        <v>31</v>
      </c>
      <c r="H1120">
        <v>18</v>
      </c>
      <c r="I1120">
        <v>4400.0200000000004</v>
      </c>
      <c r="J1120">
        <v>3543.95</v>
      </c>
      <c r="K1120">
        <v>1</v>
      </c>
      <c r="L1120">
        <v>2025</v>
      </c>
    </row>
    <row r="1121" spans="1:12" x14ac:dyDescent="0.25">
      <c r="A1121" s="1" t="s">
        <v>1154</v>
      </c>
      <c r="B1121" s="1" t="s">
        <v>12</v>
      </c>
      <c r="C1121">
        <v>86</v>
      </c>
      <c r="D1121" s="1" t="s">
        <v>20</v>
      </c>
      <c r="E1121">
        <v>77368.7</v>
      </c>
      <c r="F1121">
        <v>82855.03</v>
      </c>
      <c r="G1121">
        <v>35</v>
      </c>
      <c r="H1121">
        <v>19</v>
      </c>
      <c r="I1121">
        <v>62902.12</v>
      </c>
      <c r="J1121">
        <v>0</v>
      </c>
      <c r="K1121">
        <v>0</v>
      </c>
      <c r="L1121">
        <v>2025</v>
      </c>
    </row>
    <row r="1122" spans="1:12" x14ac:dyDescent="0.25">
      <c r="A1122" s="1" t="s">
        <v>1155</v>
      </c>
      <c r="B1122" s="1" t="s">
        <v>12</v>
      </c>
      <c r="C1122">
        <v>76</v>
      </c>
      <c r="D1122" s="1" t="s">
        <v>20</v>
      </c>
      <c r="E1122">
        <v>63437.31</v>
      </c>
      <c r="F1122">
        <v>67303.38</v>
      </c>
      <c r="G1122">
        <v>40</v>
      </c>
      <c r="H1122">
        <v>17</v>
      </c>
      <c r="I1122">
        <v>21908.44</v>
      </c>
      <c r="J1122">
        <v>2675.55</v>
      </c>
      <c r="K1122">
        <v>0</v>
      </c>
      <c r="L1122">
        <v>2025</v>
      </c>
    </row>
    <row r="1123" spans="1:12" x14ac:dyDescent="0.25">
      <c r="A1123" s="1" t="s">
        <v>1156</v>
      </c>
      <c r="B1123" s="1" t="s">
        <v>12</v>
      </c>
      <c r="C1123">
        <v>60</v>
      </c>
      <c r="D1123" s="1" t="s">
        <v>20</v>
      </c>
      <c r="E1123">
        <v>50252.98</v>
      </c>
      <c r="F1123">
        <v>50716.3</v>
      </c>
      <c r="G1123">
        <v>35</v>
      </c>
      <c r="H1123">
        <v>56</v>
      </c>
      <c r="I1123">
        <v>24105.68</v>
      </c>
      <c r="J1123">
        <v>1577.84</v>
      </c>
      <c r="K1123">
        <v>1</v>
      </c>
      <c r="L1123">
        <v>2025</v>
      </c>
    </row>
    <row r="1124" spans="1:12" x14ac:dyDescent="0.25">
      <c r="A1124" s="1" t="s">
        <v>1157</v>
      </c>
      <c r="B1124" s="1" t="s">
        <v>14</v>
      </c>
      <c r="C1124">
        <v>34</v>
      </c>
      <c r="D1124" s="1" t="s">
        <v>20</v>
      </c>
      <c r="E1124">
        <v>48482.75</v>
      </c>
      <c r="F1124">
        <v>47400.29</v>
      </c>
      <c r="G1124">
        <v>10</v>
      </c>
      <c r="H1124">
        <v>21</v>
      </c>
      <c r="I1124">
        <v>33259.410000000003</v>
      </c>
      <c r="J1124">
        <v>2104.4499999999998</v>
      </c>
      <c r="K1124">
        <v>0</v>
      </c>
      <c r="L1124">
        <v>2025</v>
      </c>
    </row>
    <row r="1125" spans="1:12" x14ac:dyDescent="0.25">
      <c r="A1125" s="1" t="s">
        <v>1158</v>
      </c>
      <c r="B1125" s="1" t="s">
        <v>17</v>
      </c>
      <c r="C1125">
        <v>107</v>
      </c>
      <c r="D1125" s="1" t="s">
        <v>20</v>
      </c>
      <c r="E1125">
        <v>102072.77</v>
      </c>
      <c r="F1125">
        <v>67326.84</v>
      </c>
      <c r="G1125">
        <v>33</v>
      </c>
      <c r="H1125">
        <v>39</v>
      </c>
      <c r="I1125">
        <v>21693.31</v>
      </c>
      <c r="J1125">
        <v>4432.96</v>
      </c>
      <c r="K1125">
        <v>0</v>
      </c>
      <c r="L1125">
        <v>2025</v>
      </c>
    </row>
    <row r="1126" spans="1:12" x14ac:dyDescent="0.25">
      <c r="A1126" s="1" t="s">
        <v>1159</v>
      </c>
      <c r="B1126" s="1" t="s">
        <v>16</v>
      </c>
      <c r="C1126">
        <v>108</v>
      </c>
      <c r="D1126" s="1" t="s">
        <v>20</v>
      </c>
      <c r="E1126">
        <v>86089.25</v>
      </c>
      <c r="F1126">
        <v>62927.81</v>
      </c>
      <c r="G1126">
        <v>30</v>
      </c>
      <c r="H1126">
        <v>31</v>
      </c>
      <c r="I1126">
        <v>42667.42</v>
      </c>
      <c r="J1126">
        <v>3254.51</v>
      </c>
      <c r="K1126">
        <v>0</v>
      </c>
      <c r="L1126">
        <v>2025</v>
      </c>
    </row>
    <row r="1127" spans="1:12" x14ac:dyDescent="0.25">
      <c r="A1127" s="1" t="s">
        <v>1160</v>
      </c>
      <c r="B1127" s="1" t="s">
        <v>16</v>
      </c>
      <c r="C1127">
        <v>116</v>
      </c>
      <c r="D1127" s="1" t="s">
        <v>20</v>
      </c>
      <c r="E1127">
        <v>105356.8</v>
      </c>
      <c r="F1127">
        <v>93606.78</v>
      </c>
      <c r="G1127">
        <v>37</v>
      </c>
      <c r="H1127">
        <v>33</v>
      </c>
      <c r="I1127">
        <v>19729.169999999998</v>
      </c>
      <c r="J1127">
        <v>2682.7</v>
      </c>
      <c r="K1127">
        <v>0</v>
      </c>
      <c r="L1127">
        <v>2025</v>
      </c>
    </row>
    <row r="1128" spans="1:12" x14ac:dyDescent="0.25">
      <c r="A1128" s="1" t="s">
        <v>33</v>
      </c>
      <c r="B1128" s="1" t="s">
        <v>16</v>
      </c>
      <c r="C1128">
        <v>30</v>
      </c>
      <c r="D1128" s="1" t="s">
        <v>20</v>
      </c>
      <c r="E1128">
        <v>18379.759999999998</v>
      </c>
      <c r="F1128">
        <v>12490.03</v>
      </c>
      <c r="G1128">
        <v>20</v>
      </c>
      <c r="H1128">
        <v>34</v>
      </c>
      <c r="I1128">
        <v>0</v>
      </c>
      <c r="J1128">
        <v>0</v>
      </c>
      <c r="K1128">
        <v>1</v>
      </c>
      <c r="L1128">
        <v>2025</v>
      </c>
    </row>
    <row r="1129" spans="1:12" x14ac:dyDescent="0.25">
      <c r="A1129" s="1" t="s">
        <v>1161</v>
      </c>
      <c r="B1129" s="1" t="s">
        <v>12</v>
      </c>
      <c r="C1129">
        <v>42</v>
      </c>
      <c r="D1129" s="1" t="s">
        <v>20</v>
      </c>
      <c r="E1129">
        <v>45745.01</v>
      </c>
      <c r="F1129">
        <v>36475.599999999999</v>
      </c>
      <c r="G1129">
        <v>50</v>
      </c>
      <c r="H1129">
        <v>13</v>
      </c>
      <c r="I1129">
        <v>0</v>
      </c>
      <c r="J1129">
        <v>11425.54</v>
      </c>
      <c r="K1129">
        <v>0</v>
      </c>
      <c r="L1129">
        <v>2025</v>
      </c>
    </row>
    <row r="1130" spans="1:12" x14ac:dyDescent="0.25">
      <c r="A1130" s="1" t="s">
        <v>1162</v>
      </c>
      <c r="B1130" s="1" t="s">
        <v>15</v>
      </c>
      <c r="C1130">
        <v>28</v>
      </c>
      <c r="D1130" s="1" t="s">
        <v>22</v>
      </c>
      <c r="E1130">
        <v>14323.41</v>
      </c>
      <c r="F1130">
        <v>10223.44</v>
      </c>
      <c r="G1130">
        <v>58</v>
      </c>
      <c r="H1130">
        <v>41</v>
      </c>
      <c r="I1130">
        <v>1576.11</v>
      </c>
      <c r="J1130">
        <v>7289.6</v>
      </c>
      <c r="K1130">
        <v>0</v>
      </c>
      <c r="L1130">
        <v>2025</v>
      </c>
    </row>
    <row r="1131" spans="1:12" x14ac:dyDescent="0.25">
      <c r="A1131" s="1" t="s">
        <v>1163</v>
      </c>
      <c r="B1131" s="1" t="s">
        <v>17</v>
      </c>
      <c r="C1131">
        <v>21</v>
      </c>
      <c r="D1131" s="1" t="s">
        <v>22</v>
      </c>
      <c r="E1131">
        <v>37726.199999999997</v>
      </c>
      <c r="F1131">
        <v>36759.160000000003</v>
      </c>
      <c r="G1131">
        <v>44</v>
      </c>
      <c r="H1131">
        <v>40</v>
      </c>
      <c r="I1131">
        <v>48149.79</v>
      </c>
      <c r="J1131">
        <v>9565.1</v>
      </c>
      <c r="K1131">
        <v>1</v>
      </c>
      <c r="L1131">
        <v>2025</v>
      </c>
    </row>
    <row r="1132" spans="1:12" x14ac:dyDescent="0.25">
      <c r="A1132" s="1" t="s">
        <v>1164</v>
      </c>
      <c r="B1132" s="1" t="s">
        <v>18</v>
      </c>
      <c r="C1132">
        <v>106</v>
      </c>
      <c r="D1132" s="1" t="s">
        <v>22</v>
      </c>
      <c r="E1132">
        <v>90428.51</v>
      </c>
      <c r="F1132">
        <v>62413.120000000003</v>
      </c>
      <c r="G1132">
        <v>43</v>
      </c>
      <c r="H1132">
        <v>20</v>
      </c>
      <c r="I1132">
        <v>13956.56</v>
      </c>
      <c r="J1132">
        <v>0</v>
      </c>
      <c r="K1132">
        <v>0</v>
      </c>
      <c r="L1132">
        <v>2025</v>
      </c>
    </row>
    <row r="1133" spans="1:12" x14ac:dyDescent="0.25">
      <c r="A1133" s="1" t="s">
        <v>1165</v>
      </c>
      <c r="B1133" s="1" t="s">
        <v>15</v>
      </c>
      <c r="C1133">
        <v>18</v>
      </c>
      <c r="D1133" s="1" t="s">
        <v>22</v>
      </c>
      <c r="E1133">
        <v>26120.9</v>
      </c>
      <c r="F1133">
        <v>27260.28</v>
      </c>
      <c r="G1133">
        <v>10</v>
      </c>
      <c r="H1133">
        <v>14</v>
      </c>
      <c r="I1133">
        <v>16069.87</v>
      </c>
      <c r="J1133">
        <v>9591.61</v>
      </c>
      <c r="K1133">
        <v>1</v>
      </c>
      <c r="L1133">
        <v>2025</v>
      </c>
    </row>
    <row r="1134" spans="1:12" x14ac:dyDescent="0.25">
      <c r="A1134" s="1" t="s">
        <v>1166</v>
      </c>
      <c r="B1134" s="1" t="s">
        <v>16</v>
      </c>
      <c r="C1134">
        <v>90</v>
      </c>
      <c r="D1134" s="1" t="s">
        <v>22</v>
      </c>
      <c r="E1134">
        <v>92054.96</v>
      </c>
      <c r="F1134">
        <v>75108.63</v>
      </c>
      <c r="G1134">
        <v>19</v>
      </c>
      <c r="H1134">
        <v>52</v>
      </c>
      <c r="I1134">
        <v>24683.43</v>
      </c>
      <c r="J1134">
        <v>7625.79</v>
      </c>
      <c r="K1134">
        <v>0</v>
      </c>
      <c r="L1134">
        <v>2025</v>
      </c>
    </row>
    <row r="1135" spans="1:12" x14ac:dyDescent="0.25">
      <c r="A1135" s="1" t="s">
        <v>1167</v>
      </c>
      <c r="B1135" s="1" t="s">
        <v>14</v>
      </c>
      <c r="C1135">
        <v>45</v>
      </c>
      <c r="D1135" s="1" t="s">
        <v>22</v>
      </c>
      <c r="E1135">
        <v>45129.82</v>
      </c>
      <c r="F1135">
        <v>46218.98</v>
      </c>
      <c r="G1135">
        <v>31</v>
      </c>
      <c r="H1135">
        <v>0</v>
      </c>
      <c r="I1135">
        <v>12463.4</v>
      </c>
      <c r="J1135">
        <v>0</v>
      </c>
      <c r="K1135">
        <v>0</v>
      </c>
      <c r="L1135">
        <v>2025</v>
      </c>
    </row>
    <row r="1136" spans="1:12" x14ac:dyDescent="0.25">
      <c r="A1136" s="1" t="s">
        <v>1168</v>
      </c>
      <c r="B1136" s="1" t="s">
        <v>17</v>
      </c>
      <c r="C1136">
        <v>30</v>
      </c>
      <c r="D1136" s="1" t="s">
        <v>22</v>
      </c>
      <c r="E1136">
        <v>29594.78</v>
      </c>
      <c r="F1136">
        <v>18026.27</v>
      </c>
      <c r="G1136">
        <v>63</v>
      </c>
      <c r="H1136">
        <v>24</v>
      </c>
      <c r="I1136">
        <v>26901.200000000001</v>
      </c>
      <c r="J1136">
        <v>0</v>
      </c>
      <c r="K1136">
        <v>0</v>
      </c>
      <c r="L1136">
        <v>2025</v>
      </c>
    </row>
    <row r="1137" spans="1:12" x14ac:dyDescent="0.25">
      <c r="A1137" s="1" t="s">
        <v>1169</v>
      </c>
      <c r="B1137" s="1" t="s">
        <v>18</v>
      </c>
      <c r="C1137">
        <v>50</v>
      </c>
      <c r="D1137" s="1" t="s">
        <v>22</v>
      </c>
      <c r="E1137">
        <v>51088.480000000003</v>
      </c>
      <c r="F1137">
        <v>49776.19</v>
      </c>
      <c r="G1137">
        <v>33</v>
      </c>
      <c r="H1137">
        <v>40</v>
      </c>
      <c r="I1137">
        <v>53153.23</v>
      </c>
      <c r="J1137">
        <v>4534.46</v>
      </c>
      <c r="K1137">
        <v>0</v>
      </c>
      <c r="L1137">
        <v>2025</v>
      </c>
    </row>
    <row r="1138" spans="1:12" x14ac:dyDescent="0.25">
      <c r="A1138" s="1" t="s">
        <v>1170</v>
      </c>
      <c r="B1138" s="1" t="s">
        <v>14</v>
      </c>
      <c r="C1138">
        <v>91</v>
      </c>
      <c r="D1138" s="1" t="s">
        <v>22</v>
      </c>
      <c r="E1138">
        <v>83485.97</v>
      </c>
      <c r="F1138">
        <v>70158.14</v>
      </c>
      <c r="G1138">
        <v>31</v>
      </c>
      <c r="H1138">
        <v>43</v>
      </c>
      <c r="I1138">
        <v>70750.289999999994</v>
      </c>
      <c r="J1138">
        <v>6103.27</v>
      </c>
      <c r="K1138">
        <v>0</v>
      </c>
      <c r="L1138">
        <v>2025</v>
      </c>
    </row>
    <row r="1139" spans="1:12" x14ac:dyDescent="0.25">
      <c r="A1139" s="1" t="s">
        <v>1171</v>
      </c>
      <c r="B1139" s="1" t="s">
        <v>18</v>
      </c>
      <c r="C1139">
        <v>44</v>
      </c>
      <c r="D1139" s="1" t="s">
        <v>22</v>
      </c>
      <c r="E1139">
        <v>48307.55</v>
      </c>
      <c r="F1139">
        <v>28938.02</v>
      </c>
      <c r="G1139">
        <v>37</v>
      </c>
      <c r="H1139">
        <v>0</v>
      </c>
      <c r="I1139">
        <v>39615.120000000003</v>
      </c>
      <c r="J1139">
        <v>0</v>
      </c>
      <c r="K1139">
        <v>0</v>
      </c>
      <c r="L1139">
        <v>2025</v>
      </c>
    </row>
    <row r="1140" spans="1:12" x14ac:dyDescent="0.25">
      <c r="A1140" s="1" t="s">
        <v>1172</v>
      </c>
      <c r="B1140" s="1" t="s">
        <v>12</v>
      </c>
      <c r="C1140">
        <v>81</v>
      </c>
      <c r="D1140" s="1" t="s">
        <v>22</v>
      </c>
      <c r="E1140">
        <v>63776.83</v>
      </c>
      <c r="F1140">
        <v>44868.21</v>
      </c>
      <c r="G1140">
        <v>15</v>
      </c>
      <c r="H1140">
        <v>29</v>
      </c>
      <c r="I1140">
        <v>79065.919999999998</v>
      </c>
      <c r="J1140">
        <v>6429.04</v>
      </c>
      <c r="K1140">
        <v>0</v>
      </c>
      <c r="L1140">
        <v>2025</v>
      </c>
    </row>
    <row r="1141" spans="1:12" x14ac:dyDescent="0.25">
      <c r="A1141" s="1" t="s">
        <v>1173</v>
      </c>
      <c r="B1141" s="1" t="s">
        <v>14</v>
      </c>
      <c r="C1141">
        <v>29</v>
      </c>
      <c r="D1141" s="1" t="s">
        <v>22</v>
      </c>
      <c r="E1141">
        <v>40358.660000000003</v>
      </c>
      <c r="F1141">
        <v>27897.919999999998</v>
      </c>
      <c r="G1141">
        <v>41</v>
      </c>
      <c r="H1141">
        <v>37</v>
      </c>
      <c r="I1141">
        <v>52901.84</v>
      </c>
      <c r="J1141">
        <v>2144.2600000000002</v>
      </c>
      <c r="K1141">
        <v>1</v>
      </c>
      <c r="L1141">
        <v>2025</v>
      </c>
    </row>
    <row r="1142" spans="1:12" x14ac:dyDescent="0.25">
      <c r="A1142" s="1" t="s">
        <v>1174</v>
      </c>
      <c r="B1142" s="1" t="s">
        <v>14</v>
      </c>
      <c r="C1142">
        <v>120</v>
      </c>
      <c r="D1142" s="1" t="s">
        <v>22</v>
      </c>
      <c r="E1142">
        <v>119733.63</v>
      </c>
      <c r="F1142">
        <v>78964.759999999995</v>
      </c>
      <c r="G1142">
        <v>50</v>
      </c>
      <c r="H1142">
        <v>19</v>
      </c>
      <c r="I1142">
        <v>66137.53</v>
      </c>
      <c r="J1142">
        <v>5888.19</v>
      </c>
      <c r="K1142">
        <v>0</v>
      </c>
      <c r="L1142">
        <v>2025</v>
      </c>
    </row>
    <row r="1143" spans="1:12" x14ac:dyDescent="0.25">
      <c r="A1143" s="1" t="s">
        <v>1175</v>
      </c>
      <c r="B1143" s="1" t="s">
        <v>14</v>
      </c>
      <c r="C1143">
        <v>92</v>
      </c>
      <c r="D1143" s="1" t="s">
        <v>22</v>
      </c>
      <c r="E1143">
        <v>89592.43</v>
      </c>
      <c r="F1143">
        <v>87068.51</v>
      </c>
      <c r="G1143">
        <v>18</v>
      </c>
      <c r="H1143">
        <v>33</v>
      </c>
      <c r="I1143">
        <v>25630.39</v>
      </c>
      <c r="J1143">
        <v>725.09</v>
      </c>
      <c r="K1143">
        <v>0</v>
      </c>
      <c r="L1143">
        <v>2025</v>
      </c>
    </row>
    <row r="1144" spans="1:12" x14ac:dyDescent="0.25">
      <c r="A1144" s="1" t="s">
        <v>1176</v>
      </c>
      <c r="B1144" s="1" t="s">
        <v>12</v>
      </c>
      <c r="C1144">
        <v>106</v>
      </c>
      <c r="D1144" s="1" t="s">
        <v>22</v>
      </c>
      <c r="E1144">
        <v>84781.79</v>
      </c>
      <c r="F1144">
        <v>91533.14</v>
      </c>
      <c r="G1144">
        <v>20</v>
      </c>
      <c r="H1144">
        <v>65</v>
      </c>
      <c r="I1144">
        <v>69792.94</v>
      </c>
      <c r="J1144">
        <v>1926.98</v>
      </c>
      <c r="K1144">
        <v>0</v>
      </c>
      <c r="L1144">
        <v>2025</v>
      </c>
    </row>
    <row r="1145" spans="1:12" x14ac:dyDescent="0.25">
      <c r="A1145" s="1" t="s">
        <v>1177</v>
      </c>
      <c r="B1145" s="1" t="s">
        <v>14</v>
      </c>
      <c r="C1145">
        <v>70</v>
      </c>
      <c r="D1145" s="1" t="s">
        <v>22</v>
      </c>
      <c r="E1145">
        <v>79873.23</v>
      </c>
      <c r="F1145">
        <v>72581.649999999994</v>
      </c>
      <c r="G1145">
        <v>24</v>
      </c>
      <c r="H1145">
        <v>34</v>
      </c>
      <c r="I1145">
        <v>31163.06</v>
      </c>
      <c r="J1145">
        <v>4209.5200000000004</v>
      </c>
      <c r="K1145">
        <v>0</v>
      </c>
      <c r="L1145">
        <v>2025</v>
      </c>
    </row>
    <row r="1146" spans="1:12" x14ac:dyDescent="0.25">
      <c r="A1146" s="1" t="s">
        <v>1178</v>
      </c>
      <c r="B1146" s="1" t="s">
        <v>15</v>
      </c>
      <c r="C1146">
        <v>69</v>
      </c>
      <c r="D1146" s="1" t="s">
        <v>22</v>
      </c>
      <c r="E1146">
        <v>62917.79</v>
      </c>
      <c r="F1146">
        <v>54765.31</v>
      </c>
      <c r="G1146">
        <v>24</v>
      </c>
      <c r="H1146">
        <v>24</v>
      </c>
      <c r="I1146">
        <v>53742.05</v>
      </c>
      <c r="J1146">
        <v>6416.6</v>
      </c>
      <c r="K1146">
        <v>0</v>
      </c>
      <c r="L1146">
        <v>2025</v>
      </c>
    </row>
    <row r="1147" spans="1:12" x14ac:dyDescent="0.25">
      <c r="A1147" s="1" t="s">
        <v>1179</v>
      </c>
      <c r="B1147" s="1" t="s">
        <v>12</v>
      </c>
      <c r="C1147">
        <v>59</v>
      </c>
      <c r="D1147" s="1" t="s">
        <v>22</v>
      </c>
      <c r="E1147">
        <v>53844.5</v>
      </c>
      <c r="F1147">
        <v>47439.06</v>
      </c>
      <c r="G1147">
        <v>53</v>
      </c>
      <c r="H1147">
        <v>24</v>
      </c>
      <c r="I1147">
        <v>8837.48</v>
      </c>
      <c r="J1147">
        <v>4224.4399999999996</v>
      </c>
      <c r="K1147">
        <v>0</v>
      </c>
      <c r="L1147">
        <v>2025</v>
      </c>
    </row>
    <row r="1148" spans="1:12" x14ac:dyDescent="0.25">
      <c r="A1148" s="1" t="s">
        <v>1180</v>
      </c>
      <c r="B1148" s="1" t="s">
        <v>17</v>
      </c>
      <c r="C1148">
        <v>84</v>
      </c>
      <c r="D1148" s="1" t="s">
        <v>22</v>
      </c>
      <c r="E1148">
        <v>62829.2</v>
      </c>
      <c r="F1148">
        <v>53030.85</v>
      </c>
      <c r="G1148">
        <v>53</v>
      </c>
      <c r="H1148">
        <v>32</v>
      </c>
      <c r="I1148">
        <v>99096.36</v>
      </c>
      <c r="J1148">
        <v>2484.5100000000002</v>
      </c>
      <c r="K1148">
        <v>0</v>
      </c>
      <c r="L1148">
        <v>2025</v>
      </c>
    </row>
    <row r="1149" spans="1:12" x14ac:dyDescent="0.25">
      <c r="A1149" s="1" t="s">
        <v>1181</v>
      </c>
      <c r="B1149" s="1" t="s">
        <v>12</v>
      </c>
      <c r="C1149">
        <v>27</v>
      </c>
      <c r="D1149" s="1" t="s">
        <v>22</v>
      </c>
      <c r="E1149">
        <v>26184.09</v>
      </c>
      <c r="F1149">
        <v>19079.59</v>
      </c>
      <c r="G1149">
        <v>10</v>
      </c>
      <c r="H1149">
        <v>48</v>
      </c>
      <c r="I1149">
        <v>53378.36</v>
      </c>
      <c r="J1149">
        <v>6796.59</v>
      </c>
      <c r="K1149">
        <v>0</v>
      </c>
      <c r="L1149">
        <v>2025</v>
      </c>
    </row>
    <row r="1150" spans="1:12" x14ac:dyDescent="0.25">
      <c r="A1150" s="1" t="s">
        <v>1182</v>
      </c>
      <c r="B1150" s="1" t="s">
        <v>17</v>
      </c>
      <c r="C1150">
        <v>9</v>
      </c>
      <c r="D1150" s="1" t="s">
        <v>22</v>
      </c>
      <c r="E1150">
        <v>21614.15</v>
      </c>
      <c r="F1150">
        <v>23185.54</v>
      </c>
      <c r="G1150">
        <v>50</v>
      </c>
      <c r="H1150">
        <v>27</v>
      </c>
      <c r="I1150">
        <v>42006.97</v>
      </c>
      <c r="J1150">
        <v>4618.28</v>
      </c>
      <c r="K1150">
        <v>0</v>
      </c>
      <c r="L1150">
        <v>2025</v>
      </c>
    </row>
    <row r="1151" spans="1:12" x14ac:dyDescent="0.25">
      <c r="A1151" s="1" t="s">
        <v>1183</v>
      </c>
      <c r="B1151" s="1" t="s">
        <v>15</v>
      </c>
      <c r="C1151">
        <v>104</v>
      </c>
      <c r="D1151" s="1" t="s">
        <v>22</v>
      </c>
      <c r="E1151">
        <v>81654.67</v>
      </c>
      <c r="F1151">
        <v>83446.17</v>
      </c>
      <c r="G1151">
        <v>42</v>
      </c>
      <c r="H1151">
        <v>22</v>
      </c>
      <c r="I1151">
        <v>25247.59</v>
      </c>
      <c r="J1151">
        <v>4417.43</v>
      </c>
      <c r="K1151">
        <v>0</v>
      </c>
      <c r="L1151">
        <v>2025</v>
      </c>
    </row>
    <row r="1152" spans="1:12" x14ac:dyDescent="0.25">
      <c r="A1152" s="1" t="s">
        <v>1184</v>
      </c>
      <c r="B1152" s="1" t="s">
        <v>18</v>
      </c>
      <c r="C1152">
        <v>4</v>
      </c>
      <c r="D1152" s="1" t="s">
        <v>22</v>
      </c>
      <c r="E1152">
        <v>4000</v>
      </c>
      <c r="F1152">
        <v>3114.91</v>
      </c>
      <c r="G1152">
        <v>39</v>
      </c>
      <c r="H1152">
        <v>44</v>
      </c>
      <c r="I1152">
        <v>23178.73</v>
      </c>
      <c r="J1152">
        <v>2877.97</v>
      </c>
      <c r="K1152">
        <v>1</v>
      </c>
      <c r="L1152">
        <v>2025</v>
      </c>
    </row>
    <row r="1153" spans="1:12" x14ac:dyDescent="0.25">
      <c r="A1153" s="1" t="s">
        <v>1185</v>
      </c>
      <c r="B1153" s="1" t="s">
        <v>12</v>
      </c>
      <c r="C1153">
        <v>106</v>
      </c>
      <c r="D1153" s="1" t="s">
        <v>22</v>
      </c>
      <c r="E1153">
        <v>81979.58</v>
      </c>
      <c r="F1153">
        <v>62467.35</v>
      </c>
      <c r="G1153">
        <v>33</v>
      </c>
      <c r="H1153">
        <v>16</v>
      </c>
      <c r="I1153">
        <v>11847.92</v>
      </c>
      <c r="J1153">
        <v>9308.2099999999991</v>
      </c>
      <c r="K1153">
        <v>1</v>
      </c>
      <c r="L1153">
        <v>2025</v>
      </c>
    </row>
    <row r="1154" spans="1:12" x14ac:dyDescent="0.25">
      <c r="A1154" s="1" t="s">
        <v>1186</v>
      </c>
      <c r="B1154" s="1" t="s">
        <v>17</v>
      </c>
      <c r="C1154">
        <v>52</v>
      </c>
      <c r="D1154" s="1" t="s">
        <v>22</v>
      </c>
      <c r="E1154">
        <v>46656</v>
      </c>
      <c r="F1154">
        <v>35501.01</v>
      </c>
      <c r="G1154">
        <v>47</v>
      </c>
      <c r="H1154">
        <v>7</v>
      </c>
      <c r="I1154">
        <v>51794.03</v>
      </c>
      <c r="J1154">
        <v>0</v>
      </c>
      <c r="K1154">
        <v>0</v>
      </c>
      <c r="L1154">
        <v>2025</v>
      </c>
    </row>
    <row r="1155" spans="1:12" x14ac:dyDescent="0.25">
      <c r="A1155" s="1" t="s">
        <v>1187</v>
      </c>
      <c r="B1155" s="1" t="s">
        <v>14</v>
      </c>
      <c r="C1155">
        <v>15</v>
      </c>
      <c r="D1155" s="1" t="s">
        <v>22</v>
      </c>
      <c r="E1155">
        <v>4000</v>
      </c>
      <c r="F1155">
        <v>3122.75</v>
      </c>
      <c r="G1155">
        <v>42</v>
      </c>
      <c r="H1155">
        <v>38</v>
      </c>
      <c r="I1155">
        <v>3142.75</v>
      </c>
      <c r="J1155">
        <v>9615.4699999999993</v>
      </c>
      <c r="K1155">
        <v>0</v>
      </c>
      <c r="L1155">
        <v>2025</v>
      </c>
    </row>
    <row r="1156" spans="1:12" x14ac:dyDescent="0.25">
      <c r="A1156" s="1" t="s">
        <v>1188</v>
      </c>
      <c r="B1156" s="1" t="s">
        <v>18</v>
      </c>
      <c r="C1156">
        <v>106</v>
      </c>
      <c r="D1156" s="1" t="s">
        <v>22</v>
      </c>
      <c r="E1156">
        <v>74602.080000000002</v>
      </c>
      <c r="F1156">
        <v>64182.91</v>
      </c>
      <c r="G1156">
        <v>43</v>
      </c>
      <c r="H1156">
        <v>56</v>
      </c>
      <c r="I1156">
        <v>50348.11</v>
      </c>
      <c r="J1156">
        <v>0</v>
      </c>
      <c r="K1156">
        <v>0</v>
      </c>
      <c r="L1156">
        <v>2025</v>
      </c>
    </row>
    <row r="1157" spans="1:12" x14ac:dyDescent="0.25">
      <c r="A1157" s="1" t="s">
        <v>1189</v>
      </c>
      <c r="B1157" s="1" t="s">
        <v>17</v>
      </c>
      <c r="C1157">
        <v>66</v>
      </c>
      <c r="D1157" s="1" t="s">
        <v>22</v>
      </c>
      <c r="E1157">
        <v>51099.17</v>
      </c>
      <c r="F1157">
        <v>53323.81</v>
      </c>
      <c r="G1157">
        <v>14</v>
      </c>
      <c r="H1157">
        <v>18</v>
      </c>
      <c r="I1157">
        <v>13559</v>
      </c>
      <c r="J1157">
        <v>1916.91</v>
      </c>
      <c r="K1157">
        <v>0</v>
      </c>
      <c r="L1157">
        <v>2025</v>
      </c>
    </row>
    <row r="1158" spans="1:12" x14ac:dyDescent="0.25">
      <c r="A1158" s="1" t="s">
        <v>1190</v>
      </c>
      <c r="B1158" s="1" t="s">
        <v>15</v>
      </c>
      <c r="C1158">
        <v>105</v>
      </c>
      <c r="D1158" s="1" t="s">
        <v>22</v>
      </c>
      <c r="E1158">
        <v>89624.94</v>
      </c>
      <c r="F1158">
        <v>66726.789999999994</v>
      </c>
      <c r="G1158">
        <v>46</v>
      </c>
      <c r="H1158">
        <v>0</v>
      </c>
      <c r="I1158">
        <v>14672.63</v>
      </c>
      <c r="J1158">
        <v>7641.37</v>
      </c>
      <c r="K1158">
        <v>1</v>
      </c>
      <c r="L1158">
        <v>2025</v>
      </c>
    </row>
    <row r="1159" spans="1:12" x14ac:dyDescent="0.25">
      <c r="A1159" s="1" t="s">
        <v>1191</v>
      </c>
      <c r="B1159" s="1" t="s">
        <v>14</v>
      </c>
      <c r="C1159">
        <v>25</v>
      </c>
      <c r="D1159" s="1" t="s">
        <v>22</v>
      </c>
      <c r="E1159">
        <v>17638.88</v>
      </c>
      <c r="F1159">
        <v>12582.4</v>
      </c>
      <c r="G1159">
        <v>35</v>
      </c>
      <c r="H1159">
        <v>79</v>
      </c>
      <c r="I1159">
        <v>16666.77</v>
      </c>
      <c r="J1159">
        <v>3989.24</v>
      </c>
      <c r="K1159">
        <v>0</v>
      </c>
      <c r="L1159">
        <v>2025</v>
      </c>
    </row>
    <row r="1160" spans="1:12" x14ac:dyDescent="0.25">
      <c r="A1160" s="1" t="s">
        <v>1192</v>
      </c>
      <c r="B1160" s="1" t="s">
        <v>16</v>
      </c>
      <c r="C1160">
        <v>45</v>
      </c>
      <c r="D1160" s="1" t="s">
        <v>22</v>
      </c>
      <c r="E1160">
        <v>59206.78</v>
      </c>
      <c r="F1160">
        <v>62614.080000000002</v>
      </c>
      <c r="G1160">
        <v>39</v>
      </c>
      <c r="H1160">
        <v>11</v>
      </c>
      <c r="I1160">
        <v>39914.14</v>
      </c>
      <c r="J1160">
        <v>2499.63</v>
      </c>
      <c r="K1160">
        <v>0</v>
      </c>
      <c r="L1160">
        <v>2025</v>
      </c>
    </row>
    <row r="1161" spans="1:12" x14ac:dyDescent="0.25">
      <c r="A1161" s="1" t="s">
        <v>1193</v>
      </c>
      <c r="B1161" s="1" t="s">
        <v>12</v>
      </c>
      <c r="C1161">
        <v>46</v>
      </c>
      <c r="D1161" s="1" t="s">
        <v>22</v>
      </c>
      <c r="E1161">
        <v>50670.49</v>
      </c>
      <c r="F1161">
        <v>31244.9</v>
      </c>
      <c r="G1161">
        <v>62</v>
      </c>
      <c r="H1161">
        <v>0</v>
      </c>
      <c r="I1161">
        <v>41297.22</v>
      </c>
      <c r="J1161">
        <v>4117.9799999999996</v>
      </c>
      <c r="K1161">
        <v>0</v>
      </c>
      <c r="L1161">
        <v>2025</v>
      </c>
    </row>
    <row r="1162" spans="1:12" x14ac:dyDescent="0.25">
      <c r="A1162" s="1" t="s">
        <v>1194</v>
      </c>
      <c r="B1162" s="1" t="s">
        <v>16</v>
      </c>
      <c r="C1162">
        <v>56</v>
      </c>
      <c r="D1162" s="1" t="s">
        <v>22</v>
      </c>
      <c r="E1162">
        <v>50566.66</v>
      </c>
      <c r="F1162">
        <v>36252.730000000003</v>
      </c>
      <c r="G1162">
        <v>50</v>
      </c>
      <c r="H1162">
        <v>61</v>
      </c>
      <c r="I1162">
        <v>52828.57</v>
      </c>
      <c r="J1162">
        <v>8472.39</v>
      </c>
      <c r="K1162">
        <v>0</v>
      </c>
      <c r="L1162">
        <v>2025</v>
      </c>
    </row>
    <row r="1163" spans="1:12" x14ac:dyDescent="0.25">
      <c r="A1163" s="1" t="s">
        <v>1195</v>
      </c>
      <c r="B1163" s="1" t="s">
        <v>14</v>
      </c>
      <c r="C1163">
        <v>98</v>
      </c>
      <c r="D1163" s="1" t="s">
        <v>22</v>
      </c>
      <c r="E1163">
        <v>71097.47</v>
      </c>
      <c r="F1163">
        <v>61092.27</v>
      </c>
      <c r="G1163">
        <v>29</v>
      </c>
      <c r="H1163">
        <v>22</v>
      </c>
      <c r="I1163">
        <v>17065.64</v>
      </c>
      <c r="J1163">
        <v>3893.58</v>
      </c>
      <c r="K1163">
        <v>0</v>
      </c>
      <c r="L1163">
        <v>2025</v>
      </c>
    </row>
    <row r="1164" spans="1:12" x14ac:dyDescent="0.25">
      <c r="A1164" s="1" t="s">
        <v>1196</v>
      </c>
      <c r="B1164" s="1" t="s">
        <v>12</v>
      </c>
      <c r="C1164">
        <v>89</v>
      </c>
      <c r="D1164" s="1" t="s">
        <v>22</v>
      </c>
      <c r="E1164">
        <v>74877.539999999994</v>
      </c>
      <c r="F1164">
        <v>72955.89</v>
      </c>
      <c r="G1164">
        <v>52</v>
      </c>
      <c r="H1164">
        <v>28</v>
      </c>
      <c r="I1164">
        <v>48968.59</v>
      </c>
      <c r="J1164">
        <v>3339.24</v>
      </c>
      <c r="K1164">
        <v>0</v>
      </c>
      <c r="L1164">
        <v>2025</v>
      </c>
    </row>
    <row r="1165" spans="1:12" x14ac:dyDescent="0.25">
      <c r="A1165" s="1" t="s">
        <v>1197</v>
      </c>
      <c r="B1165" s="1" t="s">
        <v>14</v>
      </c>
      <c r="C1165">
        <v>80</v>
      </c>
      <c r="D1165" s="1" t="s">
        <v>22</v>
      </c>
      <c r="E1165">
        <v>78258.58</v>
      </c>
      <c r="F1165">
        <v>74110.36</v>
      </c>
      <c r="G1165">
        <v>42</v>
      </c>
      <c r="H1165">
        <v>19</v>
      </c>
      <c r="I1165">
        <v>39704.269999999997</v>
      </c>
      <c r="J1165">
        <v>2456.56</v>
      </c>
      <c r="K1165">
        <v>1</v>
      </c>
      <c r="L1165">
        <v>2025</v>
      </c>
    </row>
    <row r="1166" spans="1:12" x14ac:dyDescent="0.25">
      <c r="A1166" s="1" t="s">
        <v>1198</v>
      </c>
      <c r="B1166" s="1" t="s">
        <v>15</v>
      </c>
      <c r="C1166">
        <v>12</v>
      </c>
      <c r="D1166" s="1" t="s">
        <v>22</v>
      </c>
      <c r="E1166">
        <v>7366.32</v>
      </c>
      <c r="F1166">
        <v>6280.06</v>
      </c>
      <c r="G1166">
        <v>19</v>
      </c>
      <c r="H1166">
        <v>38</v>
      </c>
      <c r="I1166">
        <v>48406.9</v>
      </c>
      <c r="J1166">
        <v>762.92</v>
      </c>
      <c r="K1166">
        <v>0</v>
      </c>
      <c r="L1166">
        <v>2025</v>
      </c>
    </row>
    <row r="1167" spans="1:12" x14ac:dyDescent="0.25">
      <c r="A1167" s="1" t="s">
        <v>1199</v>
      </c>
      <c r="B1167" s="1" t="s">
        <v>15</v>
      </c>
      <c r="C1167">
        <v>79</v>
      </c>
      <c r="D1167" s="1" t="s">
        <v>22</v>
      </c>
      <c r="E1167">
        <v>67189.740000000005</v>
      </c>
      <c r="F1167">
        <v>54569.86</v>
      </c>
      <c r="G1167">
        <v>31</v>
      </c>
      <c r="H1167">
        <v>18</v>
      </c>
      <c r="I1167">
        <v>0</v>
      </c>
      <c r="J1167">
        <v>3463.28</v>
      </c>
      <c r="K1167">
        <v>1</v>
      </c>
      <c r="L1167">
        <v>2025</v>
      </c>
    </row>
    <row r="1168" spans="1:12" x14ac:dyDescent="0.25">
      <c r="A1168" s="1" t="s">
        <v>1200</v>
      </c>
      <c r="B1168" s="1" t="s">
        <v>16</v>
      </c>
      <c r="C1168">
        <v>6</v>
      </c>
      <c r="D1168" s="1" t="s">
        <v>22</v>
      </c>
      <c r="E1168">
        <v>4000</v>
      </c>
      <c r="F1168">
        <v>3705.42</v>
      </c>
      <c r="G1168">
        <v>36</v>
      </c>
      <c r="H1168">
        <v>26</v>
      </c>
      <c r="I1168">
        <v>23604.28</v>
      </c>
      <c r="J1168">
        <v>9112.57</v>
      </c>
      <c r="K1168">
        <v>0</v>
      </c>
      <c r="L1168">
        <v>2025</v>
      </c>
    </row>
    <row r="1169" spans="1:12" x14ac:dyDescent="0.25">
      <c r="A1169" s="1" t="s">
        <v>1201</v>
      </c>
      <c r="B1169" s="1" t="s">
        <v>15</v>
      </c>
      <c r="C1169">
        <v>65</v>
      </c>
      <c r="D1169" s="1" t="s">
        <v>22</v>
      </c>
      <c r="E1169">
        <v>61828.68</v>
      </c>
      <c r="F1169">
        <v>51301.38</v>
      </c>
      <c r="G1169">
        <v>57</v>
      </c>
      <c r="H1169">
        <v>15</v>
      </c>
      <c r="I1169">
        <v>22493.13</v>
      </c>
      <c r="J1169">
        <v>3850.44</v>
      </c>
      <c r="K1169">
        <v>1</v>
      </c>
      <c r="L1169">
        <v>2025</v>
      </c>
    </row>
    <row r="1170" spans="1:12" x14ac:dyDescent="0.25">
      <c r="A1170" s="1" t="s">
        <v>1202</v>
      </c>
      <c r="B1170" s="1" t="s">
        <v>12</v>
      </c>
      <c r="C1170">
        <v>95</v>
      </c>
      <c r="D1170" s="1" t="s">
        <v>22</v>
      </c>
      <c r="E1170">
        <v>68869.490000000005</v>
      </c>
      <c r="F1170">
        <v>64492.37</v>
      </c>
      <c r="G1170">
        <v>29</v>
      </c>
      <c r="H1170">
        <v>75</v>
      </c>
      <c r="I1170">
        <v>27933.99</v>
      </c>
      <c r="J1170">
        <v>2924.53</v>
      </c>
      <c r="K1170">
        <v>0</v>
      </c>
      <c r="L1170">
        <v>2025</v>
      </c>
    </row>
    <row r="1171" spans="1:12" x14ac:dyDescent="0.25">
      <c r="A1171" s="1" t="s">
        <v>1203</v>
      </c>
      <c r="B1171" s="1" t="s">
        <v>18</v>
      </c>
      <c r="C1171">
        <v>65</v>
      </c>
      <c r="D1171" s="1" t="s">
        <v>22</v>
      </c>
      <c r="E1171">
        <v>51426.69</v>
      </c>
      <c r="F1171">
        <v>37467.74</v>
      </c>
      <c r="G1171">
        <v>55</v>
      </c>
      <c r="H1171">
        <v>50</v>
      </c>
      <c r="I1171">
        <v>75392.009999999995</v>
      </c>
      <c r="J1171">
        <v>3369.92</v>
      </c>
      <c r="K1171">
        <v>0</v>
      </c>
      <c r="L1171">
        <v>2025</v>
      </c>
    </row>
    <row r="1172" spans="1:12" x14ac:dyDescent="0.25">
      <c r="A1172" s="1" t="s">
        <v>1204</v>
      </c>
      <c r="B1172" s="1" t="s">
        <v>18</v>
      </c>
      <c r="C1172">
        <v>97</v>
      </c>
      <c r="D1172" s="1" t="s">
        <v>22</v>
      </c>
      <c r="E1172">
        <v>90762.08</v>
      </c>
      <c r="F1172">
        <v>54530.6</v>
      </c>
      <c r="G1172">
        <v>42</v>
      </c>
      <c r="H1172">
        <v>42</v>
      </c>
      <c r="I1172">
        <v>96706.59</v>
      </c>
      <c r="J1172">
        <v>0</v>
      </c>
      <c r="K1172">
        <v>1</v>
      </c>
      <c r="L1172">
        <v>2025</v>
      </c>
    </row>
    <row r="1173" spans="1:12" x14ac:dyDescent="0.25">
      <c r="A1173" s="1" t="s">
        <v>1205</v>
      </c>
      <c r="B1173" s="1" t="s">
        <v>17</v>
      </c>
      <c r="C1173">
        <v>53</v>
      </c>
      <c r="D1173" s="1" t="s">
        <v>22</v>
      </c>
      <c r="E1173">
        <v>50212.47</v>
      </c>
      <c r="F1173">
        <v>42672.639999999999</v>
      </c>
      <c r="G1173">
        <v>47</v>
      </c>
      <c r="H1173">
        <v>19</v>
      </c>
      <c r="I1173">
        <v>43820.21</v>
      </c>
      <c r="J1173">
        <v>0</v>
      </c>
      <c r="K1173">
        <v>0</v>
      </c>
      <c r="L1173">
        <v>2025</v>
      </c>
    </row>
    <row r="1174" spans="1:12" x14ac:dyDescent="0.25">
      <c r="A1174" s="1" t="s">
        <v>1206</v>
      </c>
      <c r="B1174" s="1" t="s">
        <v>14</v>
      </c>
      <c r="C1174">
        <v>49</v>
      </c>
      <c r="D1174" s="1" t="s">
        <v>22</v>
      </c>
      <c r="E1174">
        <v>43973.32</v>
      </c>
      <c r="F1174">
        <v>26667.35</v>
      </c>
      <c r="G1174">
        <v>57</v>
      </c>
      <c r="H1174">
        <v>37</v>
      </c>
      <c r="I1174">
        <v>27104.93</v>
      </c>
      <c r="J1174">
        <v>6577.29</v>
      </c>
      <c r="K1174">
        <v>0</v>
      </c>
      <c r="L1174">
        <v>2025</v>
      </c>
    </row>
    <row r="1175" spans="1:12" x14ac:dyDescent="0.25">
      <c r="A1175" s="1" t="s">
        <v>1207</v>
      </c>
      <c r="B1175" s="1" t="s">
        <v>14</v>
      </c>
      <c r="C1175">
        <v>89</v>
      </c>
      <c r="D1175" s="1" t="s">
        <v>22</v>
      </c>
      <c r="E1175">
        <v>66933.429999999993</v>
      </c>
      <c r="F1175">
        <v>54116.21</v>
      </c>
      <c r="G1175">
        <v>10</v>
      </c>
      <c r="H1175">
        <v>20</v>
      </c>
      <c r="I1175">
        <v>0</v>
      </c>
      <c r="J1175">
        <v>2195.3200000000002</v>
      </c>
      <c r="K1175">
        <v>0</v>
      </c>
      <c r="L1175">
        <v>2025</v>
      </c>
    </row>
    <row r="1176" spans="1:12" x14ac:dyDescent="0.25">
      <c r="A1176" s="1" t="s">
        <v>1208</v>
      </c>
      <c r="B1176" s="1" t="s">
        <v>18</v>
      </c>
      <c r="C1176">
        <v>52</v>
      </c>
      <c r="D1176" s="1" t="s">
        <v>22</v>
      </c>
      <c r="E1176">
        <v>63028.77</v>
      </c>
      <c r="F1176">
        <v>45478.92</v>
      </c>
      <c r="G1176">
        <v>52</v>
      </c>
      <c r="H1176">
        <v>46</v>
      </c>
      <c r="I1176">
        <v>51660.85</v>
      </c>
      <c r="J1176">
        <v>8355.86</v>
      </c>
      <c r="K1176">
        <v>0</v>
      </c>
      <c r="L1176">
        <v>2025</v>
      </c>
    </row>
    <row r="1177" spans="1:12" x14ac:dyDescent="0.25">
      <c r="A1177" s="1" t="s">
        <v>1209</v>
      </c>
      <c r="B1177" s="1" t="s">
        <v>18</v>
      </c>
      <c r="C1177">
        <v>101</v>
      </c>
      <c r="D1177" s="1" t="s">
        <v>22</v>
      </c>
      <c r="E1177">
        <v>78118.399999999994</v>
      </c>
      <c r="F1177">
        <v>48708.39</v>
      </c>
      <c r="G1177">
        <v>28</v>
      </c>
      <c r="H1177">
        <v>9</v>
      </c>
      <c r="I1177">
        <v>37285.33</v>
      </c>
      <c r="J1177">
        <v>4606.46</v>
      </c>
      <c r="K1177">
        <v>0</v>
      </c>
      <c r="L1177">
        <v>2025</v>
      </c>
    </row>
    <row r="1178" spans="1:12" x14ac:dyDescent="0.25">
      <c r="A1178" s="1" t="s">
        <v>1210</v>
      </c>
      <c r="B1178" s="1" t="s">
        <v>17</v>
      </c>
      <c r="C1178">
        <v>8</v>
      </c>
      <c r="D1178" s="1" t="s">
        <v>22</v>
      </c>
      <c r="E1178">
        <v>29010.39</v>
      </c>
      <c r="F1178">
        <v>21581.65</v>
      </c>
      <c r="G1178">
        <v>36</v>
      </c>
      <c r="H1178">
        <v>29</v>
      </c>
      <c r="I1178">
        <v>39994.589999999997</v>
      </c>
      <c r="J1178">
        <v>1280.44</v>
      </c>
      <c r="K1178">
        <v>0</v>
      </c>
      <c r="L1178">
        <v>2025</v>
      </c>
    </row>
    <row r="1179" spans="1:12" x14ac:dyDescent="0.25">
      <c r="A1179" s="1" t="s">
        <v>1211</v>
      </c>
      <c r="B1179" s="1" t="s">
        <v>17</v>
      </c>
      <c r="C1179">
        <v>76</v>
      </c>
      <c r="D1179" s="1" t="s">
        <v>22</v>
      </c>
      <c r="E1179">
        <v>70217.179999999993</v>
      </c>
      <c r="F1179">
        <v>64802.96</v>
      </c>
      <c r="G1179">
        <v>10</v>
      </c>
      <c r="H1179">
        <v>27</v>
      </c>
      <c r="I1179">
        <v>7859.11</v>
      </c>
      <c r="J1179">
        <v>0</v>
      </c>
      <c r="K1179">
        <v>0</v>
      </c>
      <c r="L1179">
        <v>2025</v>
      </c>
    </row>
    <row r="1180" spans="1:12" x14ac:dyDescent="0.25">
      <c r="A1180" s="1" t="s">
        <v>1212</v>
      </c>
      <c r="B1180" s="1" t="s">
        <v>15</v>
      </c>
      <c r="C1180">
        <v>97</v>
      </c>
      <c r="D1180" s="1" t="s">
        <v>22</v>
      </c>
      <c r="E1180">
        <v>64116.02</v>
      </c>
      <c r="F1180">
        <v>39136.410000000003</v>
      </c>
      <c r="G1180">
        <v>45</v>
      </c>
      <c r="H1180">
        <v>18</v>
      </c>
      <c r="I1180">
        <v>1600.46</v>
      </c>
      <c r="J1180">
        <v>8546.8799999999992</v>
      </c>
      <c r="K1180">
        <v>0</v>
      </c>
      <c r="L1180">
        <v>2025</v>
      </c>
    </row>
    <row r="1181" spans="1:12" x14ac:dyDescent="0.25">
      <c r="A1181" s="1" t="s">
        <v>1213</v>
      </c>
      <c r="B1181" s="1" t="s">
        <v>16</v>
      </c>
      <c r="C1181">
        <v>21</v>
      </c>
      <c r="D1181" s="1" t="s">
        <v>22</v>
      </c>
      <c r="E1181">
        <v>29458.52</v>
      </c>
      <c r="F1181">
        <v>30024.91</v>
      </c>
      <c r="G1181">
        <v>44</v>
      </c>
      <c r="H1181">
        <v>54</v>
      </c>
      <c r="I1181">
        <v>41791.839999999997</v>
      </c>
      <c r="J1181">
        <v>3310.08</v>
      </c>
      <c r="K1181">
        <v>0</v>
      </c>
      <c r="L1181">
        <v>2025</v>
      </c>
    </row>
    <row r="1182" spans="1:12" x14ac:dyDescent="0.25">
      <c r="A1182" s="1" t="s">
        <v>1214</v>
      </c>
      <c r="B1182" s="1" t="s">
        <v>15</v>
      </c>
      <c r="C1182">
        <v>14</v>
      </c>
      <c r="D1182" s="1" t="s">
        <v>22</v>
      </c>
      <c r="E1182">
        <v>5708.66</v>
      </c>
      <c r="F1182">
        <v>3361.51</v>
      </c>
      <c r="G1182">
        <v>54</v>
      </c>
      <c r="H1182">
        <v>23</v>
      </c>
      <c r="I1182">
        <v>43542.66</v>
      </c>
      <c r="J1182">
        <v>10126.120000000001</v>
      </c>
      <c r="K1182">
        <v>0</v>
      </c>
      <c r="L1182">
        <v>2025</v>
      </c>
    </row>
    <row r="1183" spans="1:12" x14ac:dyDescent="0.25">
      <c r="A1183" s="1" t="s">
        <v>1215</v>
      </c>
      <c r="B1183" s="1" t="s">
        <v>15</v>
      </c>
      <c r="C1183">
        <v>117</v>
      </c>
      <c r="D1183" s="1" t="s">
        <v>22</v>
      </c>
      <c r="E1183">
        <v>92583.84</v>
      </c>
      <c r="F1183">
        <v>56497.81</v>
      </c>
      <c r="G1183">
        <v>35</v>
      </c>
      <c r="H1183">
        <v>46</v>
      </c>
      <c r="I1183">
        <v>28207.53</v>
      </c>
      <c r="J1183">
        <v>6954.91</v>
      </c>
      <c r="K1183">
        <v>0</v>
      </c>
      <c r="L1183">
        <v>2025</v>
      </c>
    </row>
    <row r="1184" spans="1:12" x14ac:dyDescent="0.25">
      <c r="A1184" s="1" t="s">
        <v>1216</v>
      </c>
      <c r="B1184" s="1" t="s">
        <v>12</v>
      </c>
      <c r="C1184">
        <v>99</v>
      </c>
      <c r="D1184" s="1" t="s">
        <v>22</v>
      </c>
      <c r="E1184">
        <v>90217.3</v>
      </c>
      <c r="F1184">
        <v>61647.11</v>
      </c>
      <c r="G1184">
        <v>51</v>
      </c>
      <c r="H1184">
        <v>36</v>
      </c>
      <c r="I1184">
        <v>28410.560000000001</v>
      </c>
      <c r="J1184">
        <v>1685.16</v>
      </c>
      <c r="K1184">
        <v>0</v>
      </c>
      <c r="L1184">
        <v>2025</v>
      </c>
    </row>
    <row r="1185" spans="1:12" x14ac:dyDescent="0.25">
      <c r="A1185" s="1" t="s">
        <v>1217</v>
      </c>
      <c r="B1185" s="1" t="s">
        <v>16</v>
      </c>
      <c r="C1185">
        <v>18</v>
      </c>
      <c r="D1185" s="1" t="s">
        <v>22</v>
      </c>
      <c r="E1185">
        <v>24955.06</v>
      </c>
      <c r="F1185">
        <v>16688.8</v>
      </c>
      <c r="G1185">
        <v>23</v>
      </c>
      <c r="H1185">
        <v>32</v>
      </c>
      <c r="I1185">
        <v>37967.550000000003</v>
      </c>
      <c r="J1185">
        <v>3354.39</v>
      </c>
      <c r="K1185">
        <v>0</v>
      </c>
      <c r="L1185">
        <v>2025</v>
      </c>
    </row>
    <row r="1186" spans="1:12" x14ac:dyDescent="0.25">
      <c r="A1186" s="1" t="s">
        <v>1218</v>
      </c>
      <c r="B1186" s="1" t="s">
        <v>12</v>
      </c>
      <c r="C1186">
        <v>111</v>
      </c>
      <c r="D1186" s="1" t="s">
        <v>22</v>
      </c>
      <c r="E1186">
        <v>107074.13</v>
      </c>
      <c r="F1186">
        <v>78128.55</v>
      </c>
      <c r="G1186">
        <v>48</v>
      </c>
      <c r="H1186">
        <v>14</v>
      </c>
      <c r="I1186">
        <v>47785.46</v>
      </c>
      <c r="J1186">
        <v>0</v>
      </c>
      <c r="K1186">
        <v>0</v>
      </c>
      <c r="L1186">
        <v>2025</v>
      </c>
    </row>
    <row r="1187" spans="1:12" x14ac:dyDescent="0.25">
      <c r="A1187" s="1" t="s">
        <v>1219</v>
      </c>
      <c r="B1187" s="1" t="s">
        <v>17</v>
      </c>
      <c r="C1187">
        <v>23</v>
      </c>
      <c r="D1187" s="1" t="s">
        <v>22</v>
      </c>
      <c r="E1187">
        <v>29484.880000000001</v>
      </c>
      <c r="F1187">
        <v>25948.01</v>
      </c>
      <c r="G1187">
        <v>38</v>
      </c>
      <c r="H1187">
        <v>35</v>
      </c>
      <c r="I1187">
        <v>70455.539999999994</v>
      </c>
      <c r="J1187">
        <v>13397.82</v>
      </c>
      <c r="K1187">
        <v>0</v>
      </c>
      <c r="L1187">
        <v>2025</v>
      </c>
    </row>
    <row r="1188" spans="1:12" x14ac:dyDescent="0.25">
      <c r="A1188" s="1" t="s">
        <v>1220</v>
      </c>
      <c r="B1188" s="1" t="s">
        <v>12</v>
      </c>
      <c r="C1188">
        <v>42</v>
      </c>
      <c r="D1188" s="1" t="s">
        <v>22</v>
      </c>
      <c r="E1188">
        <v>50622.15</v>
      </c>
      <c r="F1188">
        <v>39127.81</v>
      </c>
      <c r="G1188">
        <v>47</v>
      </c>
      <c r="H1188">
        <v>0</v>
      </c>
      <c r="I1188">
        <v>45955.25</v>
      </c>
      <c r="J1188">
        <v>7413.5</v>
      </c>
      <c r="K1188">
        <v>0</v>
      </c>
      <c r="L1188">
        <v>2025</v>
      </c>
    </row>
    <row r="1189" spans="1:12" x14ac:dyDescent="0.25">
      <c r="A1189" s="1" t="s">
        <v>1221</v>
      </c>
      <c r="B1189" s="1" t="s">
        <v>17</v>
      </c>
      <c r="C1189">
        <v>74</v>
      </c>
      <c r="D1189" s="1" t="s">
        <v>22</v>
      </c>
      <c r="E1189">
        <v>51828.42</v>
      </c>
      <c r="F1189">
        <v>53902.17</v>
      </c>
      <c r="G1189">
        <v>12</v>
      </c>
      <c r="H1189">
        <v>13</v>
      </c>
      <c r="I1189">
        <v>21592.05</v>
      </c>
      <c r="J1189">
        <v>957.88</v>
      </c>
      <c r="K1189">
        <v>0</v>
      </c>
      <c r="L1189">
        <v>2025</v>
      </c>
    </row>
    <row r="1190" spans="1:12" x14ac:dyDescent="0.25">
      <c r="A1190" s="1" t="s">
        <v>1222</v>
      </c>
      <c r="B1190" s="1" t="s">
        <v>14</v>
      </c>
      <c r="C1190">
        <v>21</v>
      </c>
      <c r="D1190" s="1" t="s">
        <v>22</v>
      </c>
      <c r="E1190">
        <v>22488.85</v>
      </c>
      <c r="F1190">
        <v>16958.810000000001</v>
      </c>
      <c r="G1190">
        <v>28</v>
      </c>
      <c r="H1190">
        <v>52</v>
      </c>
      <c r="I1190">
        <v>37354</v>
      </c>
      <c r="J1190">
        <v>4462.4399999999996</v>
      </c>
      <c r="K1190">
        <v>0</v>
      </c>
      <c r="L1190">
        <v>2025</v>
      </c>
    </row>
    <row r="1191" spans="1:12" x14ac:dyDescent="0.25">
      <c r="A1191" s="1" t="s">
        <v>1223</v>
      </c>
      <c r="B1191" s="1" t="s">
        <v>18</v>
      </c>
      <c r="C1191">
        <v>13</v>
      </c>
      <c r="D1191" s="1" t="s">
        <v>22</v>
      </c>
      <c r="E1191">
        <v>34567.18</v>
      </c>
      <c r="F1191">
        <v>33989.370000000003</v>
      </c>
      <c r="G1191">
        <v>43</v>
      </c>
      <c r="H1191">
        <v>40</v>
      </c>
      <c r="I1191">
        <v>53721.98</v>
      </c>
      <c r="J1191">
        <v>15504.27</v>
      </c>
      <c r="K1191">
        <v>0</v>
      </c>
      <c r="L1191">
        <v>2025</v>
      </c>
    </row>
    <row r="1192" spans="1:12" x14ac:dyDescent="0.25">
      <c r="A1192" s="1" t="s">
        <v>1224</v>
      </c>
      <c r="B1192" s="1" t="s">
        <v>17</v>
      </c>
      <c r="C1192">
        <v>118</v>
      </c>
      <c r="D1192" s="1" t="s">
        <v>22</v>
      </c>
      <c r="E1192">
        <v>102255.14</v>
      </c>
      <c r="F1192">
        <v>59381.599999999999</v>
      </c>
      <c r="G1192">
        <v>10</v>
      </c>
      <c r="H1192">
        <v>35</v>
      </c>
      <c r="I1192">
        <v>33879.61</v>
      </c>
      <c r="J1192">
        <v>0</v>
      </c>
      <c r="K1192">
        <v>0</v>
      </c>
      <c r="L1192">
        <v>2025</v>
      </c>
    </row>
    <row r="1193" spans="1:12" x14ac:dyDescent="0.25">
      <c r="A1193" s="1" t="s">
        <v>1225</v>
      </c>
      <c r="B1193" s="1" t="s">
        <v>18</v>
      </c>
      <c r="C1193">
        <v>57</v>
      </c>
      <c r="D1193" s="1" t="s">
        <v>22</v>
      </c>
      <c r="E1193">
        <v>53837.01</v>
      </c>
      <c r="F1193">
        <v>45546.26</v>
      </c>
      <c r="G1193">
        <v>49</v>
      </c>
      <c r="H1193">
        <v>0</v>
      </c>
      <c r="I1193">
        <v>30908.39</v>
      </c>
      <c r="J1193">
        <v>9275.69</v>
      </c>
      <c r="K1193">
        <v>0</v>
      </c>
      <c r="L1193">
        <v>2025</v>
      </c>
    </row>
    <row r="1194" spans="1:12" x14ac:dyDescent="0.25">
      <c r="A1194" s="1" t="s">
        <v>1226</v>
      </c>
      <c r="B1194" s="1" t="s">
        <v>18</v>
      </c>
      <c r="C1194">
        <v>11</v>
      </c>
      <c r="D1194" s="1" t="s">
        <v>22</v>
      </c>
      <c r="E1194">
        <v>22279.14</v>
      </c>
      <c r="F1194">
        <v>16599.18</v>
      </c>
      <c r="G1194">
        <v>48</v>
      </c>
      <c r="H1194">
        <v>21</v>
      </c>
      <c r="I1194">
        <v>10216.02</v>
      </c>
      <c r="J1194">
        <v>6580.88</v>
      </c>
      <c r="K1194">
        <v>0</v>
      </c>
      <c r="L1194">
        <v>2025</v>
      </c>
    </row>
    <row r="1195" spans="1:12" x14ac:dyDescent="0.25">
      <c r="A1195" s="1" t="s">
        <v>1227</v>
      </c>
      <c r="B1195" s="1" t="s">
        <v>12</v>
      </c>
      <c r="C1195">
        <v>11</v>
      </c>
      <c r="D1195" s="1" t="s">
        <v>22</v>
      </c>
      <c r="E1195">
        <v>25806.36</v>
      </c>
      <c r="F1195">
        <v>18828.009999999998</v>
      </c>
      <c r="G1195">
        <v>51</v>
      </c>
      <c r="H1195">
        <v>22</v>
      </c>
      <c r="I1195">
        <v>30556.65</v>
      </c>
      <c r="J1195">
        <v>1409.08</v>
      </c>
      <c r="K1195">
        <v>0</v>
      </c>
      <c r="L1195">
        <v>2025</v>
      </c>
    </row>
    <row r="1196" spans="1:12" x14ac:dyDescent="0.25">
      <c r="A1196" s="1" t="s">
        <v>1228</v>
      </c>
      <c r="B1196" s="1" t="s">
        <v>16</v>
      </c>
      <c r="C1196">
        <v>9</v>
      </c>
      <c r="D1196" s="1" t="s">
        <v>22</v>
      </c>
      <c r="E1196">
        <v>30591.32</v>
      </c>
      <c r="F1196">
        <v>20073.48</v>
      </c>
      <c r="G1196">
        <v>46</v>
      </c>
      <c r="H1196">
        <v>29</v>
      </c>
      <c r="I1196">
        <v>3674.68</v>
      </c>
      <c r="J1196">
        <v>8320.5400000000009</v>
      </c>
      <c r="K1196">
        <v>0</v>
      </c>
      <c r="L1196">
        <v>2025</v>
      </c>
    </row>
    <row r="1197" spans="1:12" x14ac:dyDescent="0.25">
      <c r="A1197" s="1" t="s">
        <v>1229</v>
      </c>
      <c r="B1197" s="1" t="s">
        <v>14</v>
      </c>
      <c r="C1197">
        <v>99</v>
      </c>
      <c r="D1197" s="1" t="s">
        <v>22</v>
      </c>
      <c r="E1197">
        <v>96714.14</v>
      </c>
      <c r="F1197">
        <v>93391.43</v>
      </c>
      <c r="G1197">
        <v>33</v>
      </c>
      <c r="H1197">
        <v>49</v>
      </c>
      <c r="I1197">
        <v>22126.32</v>
      </c>
      <c r="J1197">
        <v>8464.8799999999992</v>
      </c>
      <c r="K1197">
        <v>0</v>
      </c>
      <c r="L1197">
        <v>2025</v>
      </c>
    </row>
    <row r="1198" spans="1:12" x14ac:dyDescent="0.25">
      <c r="A1198" s="1" t="s">
        <v>1230</v>
      </c>
      <c r="B1198" s="1" t="s">
        <v>16</v>
      </c>
      <c r="C1198">
        <v>80</v>
      </c>
      <c r="D1198" s="1" t="s">
        <v>22</v>
      </c>
      <c r="E1198">
        <v>81461.67</v>
      </c>
      <c r="F1198">
        <v>80003.66</v>
      </c>
      <c r="G1198">
        <v>41</v>
      </c>
      <c r="H1198">
        <v>28</v>
      </c>
      <c r="I1198">
        <v>37005.839999999997</v>
      </c>
      <c r="J1198">
        <v>0</v>
      </c>
      <c r="K1198">
        <v>0</v>
      </c>
      <c r="L1198">
        <v>2025</v>
      </c>
    </row>
    <row r="1199" spans="1:12" x14ac:dyDescent="0.25">
      <c r="A1199" s="1" t="s">
        <v>1231</v>
      </c>
      <c r="B1199" s="1" t="s">
        <v>16</v>
      </c>
      <c r="C1199">
        <v>114</v>
      </c>
      <c r="D1199" s="1" t="s">
        <v>22</v>
      </c>
      <c r="E1199">
        <v>107870.54</v>
      </c>
      <c r="F1199">
        <v>77050.36</v>
      </c>
      <c r="G1199">
        <v>38</v>
      </c>
      <c r="H1199">
        <v>43</v>
      </c>
      <c r="I1199">
        <v>41050.519999999997</v>
      </c>
      <c r="J1199">
        <v>6859.19</v>
      </c>
      <c r="K1199">
        <v>0</v>
      </c>
      <c r="L1199">
        <v>2025</v>
      </c>
    </row>
    <row r="1200" spans="1:12" x14ac:dyDescent="0.25">
      <c r="A1200" s="1" t="s">
        <v>1232</v>
      </c>
      <c r="B1200" s="1" t="s">
        <v>17</v>
      </c>
      <c r="C1200">
        <v>120</v>
      </c>
      <c r="D1200" s="1" t="s">
        <v>22</v>
      </c>
      <c r="E1200">
        <v>96172.479999999996</v>
      </c>
      <c r="F1200">
        <v>67884.08</v>
      </c>
      <c r="G1200">
        <v>56</v>
      </c>
      <c r="H1200">
        <v>50</v>
      </c>
      <c r="I1200">
        <v>0</v>
      </c>
      <c r="J1200">
        <v>0</v>
      </c>
      <c r="K1200">
        <v>1</v>
      </c>
      <c r="L1200">
        <v>2025</v>
      </c>
    </row>
    <row r="1201" spans="1:12" x14ac:dyDescent="0.25">
      <c r="A1201" s="1" t="s">
        <v>1233</v>
      </c>
      <c r="B1201" s="1" t="s">
        <v>16</v>
      </c>
      <c r="C1201">
        <v>11</v>
      </c>
      <c r="D1201" s="1" t="s">
        <v>22</v>
      </c>
      <c r="E1201">
        <v>9588.11</v>
      </c>
      <c r="F1201">
        <v>8072.58</v>
      </c>
      <c r="G1201">
        <v>13</v>
      </c>
      <c r="H1201">
        <v>39</v>
      </c>
      <c r="I1201">
        <v>79478.36</v>
      </c>
      <c r="J1201">
        <v>2975.59</v>
      </c>
      <c r="K1201">
        <v>0</v>
      </c>
      <c r="L1201">
        <v>2025</v>
      </c>
    </row>
    <row r="1202" spans="1:12" x14ac:dyDescent="0.25">
      <c r="A1202" s="1" t="s">
        <v>1234</v>
      </c>
      <c r="B1202" s="1" t="s">
        <v>15</v>
      </c>
      <c r="C1202">
        <v>119</v>
      </c>
      <c r="D1202" s="1" t="s">
        <v>22</v>
      </c>
      <c r="E1202">
        <v>77330.080000000002</v>
      </c>
      <c r="F1202">
        <v>67051.33</v>
      </c>
      <c r="G1202">
        <v>55</v>
      </c>
      <c r="H1202">
        <v>16</v>
      </c>
      <c r="I1202">
        <v>27989.42</v>
      </c>
      <c r="J1202">
        <v>0</v>
      </c>
      <c r="K1202">
        <v>0</v>
      </c>
      <c r="L1202">
        <v>2025</v>
      </c>
    </row>
    <row r="1203" spans="1:12" x14ac:dyDescent="0.25">
      <c r="A1203" s="1" t="s">
        <v>1235</v>
      </c>
      <c r="B1203" s="1" t="s">
        <v>17</v>
      </c>
      <c r="C1203">
        <v>84</v>
      </c>
      <c r="D1203" s="1" t="s">
        <v>340</v>
      </c>
      <c r="E1203">
        <v>85803.39</v>
      </c>
      <c r="F1203">
        <v>77108.42</v>
      </c>
      <c r="G1203">
        <v>43</v>
      </c>
      <c r="H1203">
        <v>19</v>
      </c>
      <c r="I1203">
        <v>38314.910000000003</v>
      </c>
      <c r="J1203">
        <v>5862.87</v>
      </c>
      <c r="K1203">
        <v>0</v>
      </c>
      <c r="L1203">
        <v>2025</v>
      </c>
    </row>
    <row r="1204" spans="1:12" x14ac:dyDescent="0.25">
      <c r="A1204" s="1" t="s">
        <v>1236</v>
      </c>
      <c r="B1204" s="1" t="s">
        <v>15</v>
      </c>
      <c r="C1204">
        <v>46</v>
      </c>
      <c r="D1204" s="1" t="s">
        <v>340</v>
      </c>
      <c r="E1204">
        <v>55038.29</v>
      </c>
      <c r="F1204">
        <v>35710.1</v>
      </c>
      <c r="G1204">
        <v>76</v>
      </c>
      <c r="H1204">
        <v>19</v>
      </c>
      <c r="I1204">
        <v>31708.21</v>
      </c>
      <c r="J1204">
        <v>0</v>
      </c>
      <c r="K1204">
        <v>0</v>
      </c>
      <c r="L1204">
        <v>2025</v>
      </c>
    </row>
    <row r="1205" spans="1:12" x14ac:dyDescent="0.25">
      <c r="A1205" s="1" t="s">
        <v>1237</v>
      </c>
      <c r="B1205" s="1" t="s">
        <v>17</v>
      </c>
      <c r="C1205">
        <v>70</v>
      </c>
      <c r="D1205" s="1" t="s">
        <v>340</v>
      </c>
      <c r="E1205">
        <v>78651.56</v>
      </c>
      <c r="F1205">
        <v>48915.87</v>
      </c>
      <c r="G1205">
        <v>56</v>
      </c>
      <c r="H1205">
        <v>22</v>
      </c>
      <c r="I1205">
        <v>25010.880000000001</v>
      </c>
      <c r="J1205">
        <v>3797.23</v>
      </c>
      <c r="K1205">
        <v>1</v>
      </c>
      <c r="L1205">
        <v>2025</v>
      </c>
    </row>
    <row r="1206" spans="1:12" x14ac:dyDescent="0.25">
      <c r="A1206" s="1" t="s">
        <v>1238</v>
      </c>
      <c r="B1206" s="1" t="s">
        <v>16</v>
      </c>
      <c r="C1206">
        <v>3</v>
      </c>
      <c r="D1206" s="1" t="s">
        <v>340</v>
      </c>
      <c r="E1206">
        <v>17696.04</v>
      </c>
      <c r="F1206">
        <v>13101.9</v>
      </c>
      <c r="G1206">
        <v>21</v>
      </c>
      <c r="H1206">
        <v>25</v>
      </c>
      <c r="I1206">
        <v>30853.74</v>
      </c>
      <c r="J1206">
        <v>11882.55</v>
      </c>
      <c r="K1206">
        <v>0</v>
      </c>
      <c r="L1206">
        <v>2025</v>
      </c>
    </row>
    <row r="1207" spans="1:12" x14ac:dyDescent="0.25">
      <c r="A1207" s="1" t="s">
        <v>1239</v>
      </c>
      <c r="B1207" s="1" t="s">
        <v>17</v>
      </c>
      <c r="C1207">
        <v>120</v>
      </c>
      <c r="D1207" s="1" t="s">
        <v>340</v>
      </c>
      <c r="E1207">
        <v>89081.99</v>
      </c>
      <c r="F1207">
        <v>54864.31</v>
      </c>
      <c r="G1207">
        <v>58</v>
      </c>
      <c r="H1207">
        <v>33</v>
      </c>
      <c r="I1207">
        <v>71640.289999999994</v>
      </c>
      <c r="J1207">
        <v>3129.32</v>
      </c>
      <c r="K1207">
        <v>0</v>
      </c>
      <c r="L1207">
        <v>2025</v>
      </c>
    </row>
    <row r="1208" spans="1:12" x14ac:dyDescent="0.25">
      <c r="A1208" s="1" t="s">
        <v>1240</v>
      </c>
      <c r="B1208" s="1" t="s">
        <v>16</v>
      </c>
      <c r="C1208">
        <v>80</v>
      </c>
      <c r="D1208" s="1" t="s">
        <v>340</v>
      </c>
      <c r="E1208">
        <v>83019.8</v>
      </c>
      <c r="F1208">
        <v>55029.42</v>
      </c>
      <c r="G1208">
        <v>48</v>
      </c>
      <c r="H1208">
        <v>34</v>
      </c>
      <c r="I1208">
        <v>34149.269999999997</v>
      </c>
      <c r="J1208">
        <v>3436.38</v>
      </c>
      <c r="K1208">
        <v>0</v>
      </c>
      <c r="L1208">
        <v>2025</v>
      </c>
    </row>
    <row r="1209" spans="1:12" x14ac:dyDescent="0.25">
      <c r="A1209" s="1" t="s">
        <v>1241</v>
      </c>
      <c r="B1209" s="1" t="s">
        <v>15</v>
      </c>
      <c r="C1209">
        <v>98</v>
      </c>
      <c r="D1209" s="1" t="s">
        <v>340</v>
      </c>
      <c r="E1209">
        <v>70077.039999999994</v>
      </c>
      <c r="F1209">
        <v>43130.36</v>
      </c>
      <c r="G1209">
        <v>36</v>
      </c>
      <c r="H1209">
        <v>12</v>
      </c>
      <c r="I1209">
        <v>11053.31</v>
      </c>
      <c r="J1209">
        <v>4988.33</v>
      </c>
      <c r="K1209">
        <v>0</v>
      </c>
      <c r="L1209">
        <v>2025</v>
      </c>
    </row>
    <row r="1210" spans="1:12" x14ac:dyDescent="0.25">
      <c r="A1210" s="1" t="s">
        <v>1242</v>
      </c>
      <c r="B1210" s="1" t="s">
        <v>12</v>
      </c>
      <c r="C1210">
        <v>51</v>
      </c>
      <c r="D1210" s="1" t="s">
        <v>340</v>
      </c>
      <c r="E1210">
        <v>57387.85</v>
      </c>
      <c r="F1210">
        <v>37854.080000000002</v>
      </c>
      <c r="G1210">
        <v>79</v>
      </c>
      <c r="H1210">
        <v>23</v>
      </c>
      <c r="I1210">
        <v>0</v>
      </c>
      <c r="J1210">
        <v>6829.04</v>
      </c>
      <c r="K1210">
        <v>0</v>
      </c>
      <c r="L1210">
        <v>2025</v>
      </c>
    </row>
    <row r="1211" spans="1:12" x14ac:dyDescent="0.25">
      <c r="A1211" s="1" t="s">
        <v>1243</v>
      </c>
      <c r="B1211" s="1" t="s">
        <v>15</v>
      </c>
      <c r="C1211">
        <v>108</v>
      </c>
      <c r="D1211" s="1" t="s">
        <v>340</v>
      </c>
      <c r="E1211">
        <v>82984.460000000006</v>
      </c>
      <c r="F1211">
        <v>49790.09</v>
      </c>
      <c r="G1211">
        <v>40</v>
      </c>
      <c r="H1211">
        <v>21</v>
      </c>
      <c r="I1211">
        <v>37679.82</v>
      </c>
      <c r="J1211">
        <v>0</v>
      </c>
      <c r="K1211">
        <v>0</v>
      </c>
      <c r="L1211">
        <v>2025</v>
      </c>
    </row>
    <row r="1212" spans="1:12" x14ac:dyDescent="0.25">
      <c r="A1212" s="1" t="s">
        <v>1244</v>
      </c>
      <c r="B1212" s="1" t="s">
        <v>12</v>
      </c>
      <c r="C1212">
        <v>106</v>
      </c>
      <c r="D1212" s="1" t="s">
        <v>340</v>
      </c>
      <c r="E1212">
        <v>80032.58</v>
      </c>
      <c r="F1212">
        <v>60071.23</v>
      </c>
      <c r="G1212">
        <v>18</v>
      </c>
      <c r="H1212">
        <v>45</v>
      </c>
      <c r="I1212">
        <v>42708.89</v>
      </c>
      <c r="J1212">
        <v>1393.2</v>
      </c>
      <c r="K1212">
        <v>0</v>
      </c>
      <c r="L1212">
        <v>2025</v>
      </c>
    </row>
    <row r="1213" spans="1:12" x14ac:dyDescent="0.25">
      <c r="A1213" s="1" t="s">
        <v>1245</v>
      </c>
      <c r="B1213" s="1" t="s">
        <v>17</v>
      </c>
      <c r="C1213">
        <v>74</v>
      </c>
      <c r="D1213" s="1" t="s">
        <v>340</v>
      </c>
      <c r="E1213">
        <v>59346.09</v>
      </c>
      <c r="F1213">
        <v>58646.6</v>
      </c>
      <c r="G1213">
        <v>53</v>
      </c>
      <c r="H1213">
        <v>1</v>
      </c>
      <c r="I1213">
        <v>54049.74</v>
      </c>
      <c r="J1213">
        <v>1773.3</v>
      </c>
      <c r="K1213">
        <v>0</v>
      </c>
      <c r="L1213">
        <v>2025</v>
      </c>
    </row>
    <row r="1214" spans="1:12" x14ac:dyDescent="0.25">
      <c r="A1214" s="1" t="s">
        <v>1246</v>
      </c>
      <c r="B1214" s="1" t="s">
        <v>12</v>
      </c>
      <c r="C1214">
        <v>13</v>
      </c>
      <c r="D1214" s="1" t="s">
        <v>340</v>
      </c>
      <c r="E1214">
        <v>4000</v>
      </c>
      <c r="F1214">
        <v>3016.82</v>
      </c>
      <c r="G1214">
        <v>40</v>
      </c>
      <c r="H1214">
        <v>25</v>
      </c>
      <c r="I1214">
        <v>18021.71</v>
      </c>
      <c r="J1214">
        <v>0</v>
      </c>
      <c r="K1214">
        <v>0</v>
      </c>
      <c r="L1214">
        <v>2025</v>
      </c>
    </row>
    <row r="1215" spans="1:12" x14ac:dyDescent="0.25">
      <c r="A1215" s="1" t="s">
        <v>1247</v>
      </c>
      <c r="B1215" s="1" t="s">
        <v>17</v>
      </c>
      <c r="C1215">
        <v>80</v>
      </c>
      <c r="D1215" s="1" t="s">
        <v>340</v>
      </c>
      <c r="E1215">
        <v>84210.47</v>
      </c>
      <c r="F1215">
        <v>83100.72</v>
      </c>
      <c r="G1215">
        <v>42</v>
      </c>
      <c r="H1215">
        <v>2</v>
      </c>
      <c r="I1215">
        <v>14969.15</v>
      </c>
      <c r="J1215">
        <v>11836.36</v>
      </c>
      <c r="K1215">
        <v>0</v>
      </c>
      <c r="L1215">
        <v>2025</v>
      </c>
    </row>
    <row r="1216" spans="1:12" x14ac:dyDescent="0.25">
      <c r="A1216" s="1" t="s">
        <v>1248</v>
      </c>
      <c r="B1216" s="1" t="s">
        <v>17</v>
      </c>
      <c r="C1216">
        <v>90</v>
      </c>
      <c r="D1216" s="1" t="s">
        <v>340</v>
      </c>
      <c r="E1216">
        <v>58649.51</v>
      </c>
      <c r="F1216">
        <v>57406.52</v>
      </c>
      <c r="G1216">
        <v>32</v>
      </c>
      <c r="H1216">
        <v>28</v>
      </c>
      <c r="I1216">
        <v>34131.17</v>
      </c>
      <c r="J1216">
        <v>0</v>
      </c>
      <c r="K1216">
        <v>0</v>
      </c>
      <c r="L1216">
        <v>2025</v>
      </c>
    </row>
    <row r="1217" spans="1:12" x14ac:dyDescent="0.25">
      <c r="A1217" s="1" t="s">
        <v>1249</v>
      </c>
      <c r="B1217" s="1" t="s">
        <v>14</v>
      </c>
      <c r="C1217">
        <v>5</v>
      </c>
      <c r="D1217" s="1" t="s">
        <v>340</v>
      </c>
      <c r="E1217">
        <v>12492.36</v>
      </c>
      <c r="F1217">
        <v>8021.46</v>
      </c>
      <c r="G1217">
        <v>23</v>
      </c>
      <c r="H1217">
        <v>24</v>
      </c>
      <c r="I1217">
        <v>23954.720000000001</v>
      </c>
      <c r="J1217">
        <v>2744.53</v>
      </c>
      <c r="K1217">
        <v>0</v>
      </c>
      <c r="L1217">
        <v>2025</v>
      </c>
    </row>
    <row r="1218" spans="1:12" x14ac:dyDescent="0.25">
      <c r="A1218" s="1" t="s">
        <v>1250</v>
      </c>
      <c r="B1218" s="1" t="s">
        <v>17</v>
      </c>
      <c r="C1218">
        <v>107</v>
      </c>
      <c r="D1218" s="1" t="s">
        <v>340</v>
      </c>
      <c r="E1218">
        <v>91256.51</v>
      </c>
      <c r="F1218">
        <v>64526.07</v>
      </c>
      <c r="G1218">
        <v>23</v>
      </c>
      <c r="H1218">
        <v>0</v>
      </c>
      <c r="I1218">
        <v>32359.040000000001</v>
      </c>
      <c r="J1218">
        <v>1572</v>
      </c>
      <c r="K1218">
        <v>0</v>
      </c>
      <c r="L1218">
        <v>2025</v>
      </c>
    </row>
    <row r="1219" spans="1:12" x14ac:dyDescent="0.25">
      <c r="A1219" s="1" t="s">
        <v>1251</v>
      </c>
      <c r="B1219" s="1" t="s">
        <v>17</v>
      </c>
      <c r="C1219">
        <v>41</v>
      </c>
      <c r="D1219" s="1" t="s">
        <v>340</v>
      </c>
      <c r="E1219">
        <v>39621.71</v>
      </c>
      <c r="F1219">
        <v>41937.85</v>
      </c>
      <c r="G1219">
        <v>28</v>
      </c>
      <c r="H1219">
        <v>10</v>
      </c>
      <c r="I1219">
        <v>28579.19</v>
      </c>
      <c r="J1219">
        <v>7655.99</v>
      </c>
      <c r="K1219">
        <v>0</v>
      </c>
      <c r="L1219">
        <v>2025</v>
      </c>
    </row>
    <row r="1220" spans="1:12" x14ac:dyDescent="0.25">
      <c r="A1220" s="1" t="s">
        <v>1252</v>
      </c>
      <c r="B1220" s="1" t="s">
        <v>16</v>
      </c>
      <c r="C1220">
        <v>102</v>
      </c>
      <c r="D1220" s="1" t="s">
        <v>340</v>
      </c>
      <c r="E1220">
        <v>86254.2</v>
      </c>
      <c r="F1220">
        <v>86683.72</v>
      </c>
      <c r="G1220">
        <v>43</v>
      </c>
      <c r="H1220">
        <v>45</v>
      </c>
      <c r="I1220">
        <v>15302.22</v>
      </c>
      <c r="J1220">
        <v>0</v>
      </c>
      <c r="K1220">
        <v>1</v>
      </c>
      <c r="L1220">
        <v>2025</v>
      </c>
    </row>
    <row r="1221" spans="1:12" x14ac:dyDescent="0.25">
      <c r="A1221" s="1" t="s">
        <v>1253</v>
      </c>
      <c r="B1221" s="1" t="s">
        <v>14</v>
      </c>
      <c r="C1221">
        <v>4</v>
      </c>
      <c r="D1221" s="1" t="s">
        <v>340</v>
      </c>
      <c r="E1221">
        <v>5565.72</v>
      </c>
      <c r="F1221">
        <v>3835.07</v>
      </c>
      <c r="G1221">
        <v>15</v>
      </c>
      <c r="H1221">
        <v>28</v>
      </c>
      <c r="I1221">
        <v>50929.87</v>
      </c>
      <c r="J1221">
        <v>3446.48</v>
      </c>
      <c r="K1221">
        <v>0</v>
      </c>
      <c r="L1221">
        <v>2025</v>
      </c>
    </row>
    <row r="1222" spans="1:12" x14ac:dyDescent="0.25">
      <c r="A1222" s="1" t="s">
        <v>1254</v>
      </c>
      <c r="B1222" s="1" t="s">
        <v>18</v>
      </c>
      <c r="C1222">
        <v>86</v>
      </c>
      <c r="D1222" s="1" t="s">
        <v>340</v>
      </c>
      <c r="E1222">
        <v>76540.789999999994</v>
      </c>
      <c r="F1222">
        <v>70599.47</v>
      </c>
      <c r="G1222">
        <v>43</v>
      </c>
      <c r="H1222">
        <v>20</v>
      </c>
      <c r="I1222">
        <v>48094.29</v>
      </c>
      <c r="J1222">
        <v>1853.53</v>
      </c>
      <c r="K1222">
        <v>0</v>
      </c>
      <c r="L1222">
        <v>2025</v>
      </c>
    </row>
    <row r="1223" spans="1:12" x14ac:dyDescent="0.25">
      <c r="A1223" s="1" t="s">
        <v>1255</v>
      </c>
      <c r="B1223" s="1" t="s">
        <v>15</v>
      </c>
      <c r="C1223">
        <v>5</v>
      </c>
      <c r="D1223" s="1" t="s">
        <v>340</v>
      </c>
      <c r="E1223">
        <v>20972.09</v>
      </c>
      <c r="F1223">
        <v>20572.490000000002</v>
      </c>
      <c r="G1223">
        <v>36</v>
      </c>
      <c r="H1223">
        <v>49</v>
      </c>
      <c r="I1223">
        <v>64505.39</v>
      </c>
      <c r="J1223">
        <v>2449.56</v>
      </c>
      <c r="K1223">
        <v>0</v>
      </c>
      <c r="L1223">
        <v>2025</v>
      </c>
    </row>
    <row r="1224" spans="1:12" x14ac:dyDescent="0.25">
      <c r="A1224" s="1" t="s">
        <v>1256</v>
      </c>
      <c r="B1224" s="1" t="s">
        <v>14</v>
      </c>
      <c r="C1224">
        <v>17</v>
      </c>
      <c r="D1224" s="1" t="s">
        <v>340</v>
      </c>
      <c r="E1224">
        <v>11058.46</v>
      </c>
      <c r="F1224">
        <v>11273.92</v>
      </c>
      <c r="G1224">
        <v>20</v>
      </c>
      <c r="H1224">
        <v>32</v>
      </c>
      <c r="I1224">
        <v>16066.06</v>
      </c>
      <c r="J1224">
        <v>11087.28</v>
      </c>
      <c r="K1224">
        <v>0</v>
      </c>
      <c r="L1224">
        <v>2025</v>
      </c>
    </row>
    <row r="1225" spans="1:12" x14ac:dyDescent="0.25">
      <c r="A1225" s="1" t="s">
        <v>1257</v>
      </c>
      <c r="B1225" s="1" t="s">
        <v>15</v>
      </c>
      <c r="C1225">
        <v>12</v>
      </c>
      <c r="D1225" s="1" t="s">
        <v>340</v>
      </c>
      <c r="E1225">
        <v>5176.34</v>
      </c>
      <c r="F1225">
        <v>5265.64</v>
      </c>
      <c r="G1225">
        <v>29</v>
      </c>
      <c r="H1225">
        <v>22</v>
      </c>
      <c r="I1225">
        <v>31386.36</v>
      </c>
      <c r="J1225">
        <v>3651.89</v>
      </c>
      <c r="K1225">
        <v>0</v>
      </c>
      <c r="L1225">
        <v>2025</v>
      </c>
    </row>
    <row r="1226" spans="1:12" x14ac:dyDescent="0.25">
      <c r="A1226" s="1" t="s">
        <v>1258</v>
      </c>
      <c r="B1226" s="1" t="s">
        <v>12</v>
      </c>
      <c r="C1226">
        <v>116</v>
      </c>
      <c r="D1226" s="1" t="s">
        <v>340</v>
      </c>
      <c r="E1226">
        <v>89955.51</v>
      </c>
      <c r="F1226">
        <v>90699.7</v>
      </c>
      <c r="G1226">
        <v>56</v>
      </c>
      <c r="H1226">
        <v>40</v>
      </c>
      <c r="I1226">
        <v>38094.49</v>
      </c>
      <c r="J1226">
        <v>4210.84</v>
      </c>
      <c r="K1226">
        <v>0</v>
      </c>
      <c r="L1226">
        <v>2025</v>
      </c>
    </row>
    <row r="1227" spans="1:12" x14ac:dyDescent="0.25">
      <c r="A1227" s="1" t="s">
        <v>1259</v>
      </c>
      <c r="B1227" s="1" t="s">
        <v>15</v>
      </c>
      <c r="C1227">
        <v>70</v>
      </c>
      <c r="D1227" s="1" t="s">
        <v>340</v>
      </c>
      <c r="E1227">
        <v>55306.76</v>
      </c>
      <c r="F1227">
        <v>35870.14</v>
      </c>
      <c r="G1227">
        <v>31</v>
      </c>
      <c r="H1227">
        <v>5</v>
      </c>
      <c r="I1227">
        <v>7346.17</v>
      </c>
      <c r="J1227">
        <v>4874.75</v>
      </c>
      <c r="K1227">
        <v>1</v>
      </c>
      <c r="L1227">
        <v>2025</v>
      </c>
    </row>
    <row r="1228" spans="1:12" x14ac:dyDescent="0.25">
      <c r="A1228" s="1" t="s">
        <v>1260</v>
      </c>
      <c r="B1228" s="1" t="s">
        <v>17</v>
      </c>
      <c r="C1228">
        <v>112</v>
      </c>
      <c r="D1228" s="1" t="s">
        <v>340</v>
      </c>
      <c r="E1228">
        <v>107779.07</v>
      </c>
      <c r="F1228">
        <v>84856.86</v>
      </c>
      <c r="G1228">
        <v>44</v>
      </c>
      <c r="H1228">
        <v>42</v>
      </c>
      <c r="I1228">
        <v>0</v>
      </c>
      <c r="J1228">
        <v>0</v>
      </c>
      <c r="K1228">
        <v>0</v>
      </c>
      <c r="L1228">
        <v>2025</v>
      </c>
    </row>
    <row r="1229" spans="1:12" x14ac:dyDescent="0.25">
      <c r="A1229" s="1" t="s">
        <v>1261</v>
      </c>
      <c r="B1229" s="1" t="s">
        <v>14</v>
      </c>
      <c r="C1229">
        <v>54</v>
      </c>
      <c r="D1229" s="1" t="s">
        <v>340</v>
      </c>
      <c r="E1229">
        <v>44467.56</v>
      </c>
      <c r="F1229">
        <v>33772.550000000003</v>
      </c>
      <c r="G1229">
        <v>15</v>
      </c>
      <c r="H1229">
        <v>84</v>
      </c>
      <c r="I1229">
        <v>31320.39</v>
      </c>
      <c r="J1229">
        <v>6456.78</v>
      </c>
      <c r="K1229">
        <v>0</v>
      </c>
      <c r="L1229">
        <v>2025</v>
      </c>
    </row>
    <row r="1230" spans="1:12" x14ac:dyDescent="0.25">
      <c r="A1230" s="1" t="s">
        <v>1262</v>
      </c>
      <c r="B1230" s="1" t="s">
        <v>18</v>
      </c>
      <c r="C1230">
        <v>12</v>
      </c>
      <c r="D1230" s="1" t="s">
        <v>340</v>
      </c>
      <c r="E1230">
        <v>20680.46</v>
      </c>
      <c r="F1230">
        <v>14454.2</v>
      </c>
      <c r="G1230">
        <v>38</v>
      </c>
      <c r="H1230">
        <v>23</v>
      </c>
      <c r="I1230">
        <v>32293.66</v>
      </c>
      <c r="J1230">
        <v>0</v>
      </c>
      <c r="K1230">
        <v>0</v>
      </c>
      <c r="L1230">
        <v>2025</v>
      </c>
    </row>
    <row r="1231" spans="1:12" x14ac:dyDescent="0.25">
      <c r="A1231" s="1" t="s">
        <v>1263</v>
      </c>
      <c r="B1231" s="1" t="s">
        <v>16</v>
      </c>
      <c r="C1231">
        <v>106</v>
      </c>
      <c r="D1231" s="1" t="s">
        <v>340</v>
      </c>
      <c r="E1231">
        <v>92696.04</v>
      </c>
      <c r="F1231">
        <v>66710.679999999993</v>
      </c>
      <c r="G1231">
        <v>50</v>
      </c>
      <c r="H1231">
        <v>28</v>
      </c>
      <c r="I1231">
        <v>51837.26</v>
      </c>
      <c r="J1231">
        <v>0</v>
      </c>
      <c r="K1231">
        <v>0</v>
      </c>
      <c r="L1231">
        <v>2025</v>
      </c>
    </row>
    <row r="1232" spans="1:12" x14ac:dyDescent="0.25">
      <c r="A1232" s="1" t="s">
        <v>1264</v>
      </c>
      <c r="B1232" s="1" t="s">
        <v>15</v>
      </c>
      <c r="C1232">
        <v>101</v>
      </c>
      <c r="D1232" s="1" t="s">
        <v>340</v>
      </c>
      <c r="E1232">
        <v>80812</v>
      </c>
      <c r="F1232">
        <v>54739.57</v>
      </c>
      <c r="G1232">
        <v>53</v>
      </c>
      <c r="H1232">
        <v>10</v>
      </c>
      <c r="I1232">
        <v>0</v>
      </c>
      <c r="J1232">
        <v>0</v>
      </c>
      <c r="K1232">
        <v>0</v>
      </c>
      <c r="L1232">
        <v>2025</v>
      </c>
    </row>
    <row r="1233" spans="1:12" x14ac:dyDescent="0.25">
      <c r="A1233" s="1" t="s">
        <v>1265</v>
      </c>
      <c r="B1233" s="1" t="s">
        <v>18</v>
      </c>
      <c r="C1233">
        <v>120</v>
      </c>
      <c r="D1233" s="1" t="s">
        <v>340</v>
      </c>
      <c r="E1233">
        <v>108776.72</v>
      </c>
      <c r="F1233">
        <v>85589.16</v>
      </c>
      <c r="G1233">
        <v>34</v>
      </c>
      <c r="H1233">
        <v>30</v>
      </c>
      <c r="I1233">
        <v>53623.07</v>
      </c>
      <c r="J1233">
        <v>5514.76</v>
      </c>
      <c r="K1233">
        <v>0</v>
      </c>
      <c r="L1233">
        <v>2025</v>
      </c>
    </row>
    <row r="1234" spans="1:12" x14ac:dyDescent="0.25">
      <c r="A1234" s="1" t="s">
        <v>1266</v>
      </c>
      <c r="B1234" s="1" t="s">
        <v>17</v>
      </c>
      <c r="C1234">
        <v>38</v>
      </c>
      <c r="D1234" s="1" t="s">
        <v>340</v>
      </c>
      <c r="E1234">
        <v>39348.879999999997</v>
      </c>
      <c r="F1234">
        <v>32394.77</v>
      </c>
      <c r="G1234">
        <v>26</v>
      </c>
      <c r="H1234">
        <v>27</v>
      </c>
      <c r="I1234">
        <v>29714.03</v>
      </c>
      <c r="J1234">
        <v>2395.63</v>
      </c>
      <c r="K1234">
        <v>0</v>
      </c>
      <c r="L1234">
        <v>2025</v>
      </c>
    </row>
    <row r="1235" spans="1:12" x14ac:dyDescent="0.25">
      <c r="A1235" s="1" t="s">
        <v>1267</v>
      </c>
      <c r="B1235" s="1" t="s">
        <v>16</v>
      </c>
      <c r="C1235">
        <v>38</v>
      </c>
      <c r="D1235" s="1" t="s">
        <v>340</v>
      </c>
      <c r="E1235">
        <v>40700.54</v>
      </c>
      <c r="F1235">
        <v>37698.54</v>
      </c>
      <c r="G1235">
        <v>10</v>
      </c>
      <c r="H1235">
        <v>39</v>
      </c>
      <c r="I1235">
        <v>33697.43</v>
      </c>
      <c r="J1235">
        <v>12357.09</v>
      </c>
      <c r="K1235">
        <v>1</v>
      </c>
      <c r="L1235">
        <v>2025</v>
      </c>
    </row>
    <row r="1236" spans="1:12" x14ac:dyDescent="0.25">
      <c r="A1236" s="1" t="s">
        <v>1268</v>
      </c>
      <c r="B1236" s="1" t="s">
        <v>16</v>
      </c>
      <c r="C1236">
        <v>61</v>
      </c>
      <c r="D1236" s="1" t="s">
        <v>340</v>
      </c>
      <c r="E1236">
        <v>55466.2</v>
      </c>
      <c r="F1236">
        <v>56608.35</v>
      </c>
      <c r="G1236">
        <v>28</v>
      </c>
      <c r="H1236">
        <v>31</v>
      </c>
      <c r="I1236">
        <v>38436.620000000003</v>
      </c>
      <c r="J1236">
        <v>4301.16</v>
      </c>
      <c r="K1236">
        <v>0</v>
      </c>
      <c r="L1236">
        <v>2025</v>
      </c>
    </row>
    <row r="1237" spans="1:12" x14ac:dyDescent="0.25">
      <c r="A1237" s="1" t="s">
        <v>1269</v>
      </c>
      <c r="B1237" s="1" t="s">
        <v>18</v>
      </c>
      <c r="C1237">
        <v>110</v>
      </c>
      <c r="D1237" s="1" t="s">
        <v>340</v>
      </c>
      <c r="E1237">
        <v>96338.27</v>
      </c>
      <c r="F1237">
        <v>64508.89</v>
      </c>
      <c r="G1237">
        <v>51</v>
      </c>
      <c r="H1237">
        <v>37</v>
      </c>
      <c r="I1237">
        <v>20371.16</v>
      </c>
      <c r="J1237">
        <v>641.72</v>
      </c>
      <c r="K1237">
        <v>0</v>
      </c>
      <c r="L1237">
        <v>2025</v>
      </c>
    </row>
    <row r="1238" spans="1:12" x14ac:dyDescent="0.25">
      <c r="A1238" s="1" t="s">
        <v>1270</v>
      </c>
      <c r="B1238" s="1" t="s">
        <v>15</v>
      </c>
      <c r="C1238">
        <v>31</v>
      </c>
      <c r="D1238" s="1" t="s">
        <v>340</v>
      </c>
      <c r="E1238">
        <v>40066.54</v>
      </c>
      <c r="F1238">
        <v>26236.29</v>
      </c>
      <c r="G1238">
        <v>36</v>
      </c>
      <c r="H1238">
        <v>8</v>
      </c>
      <c r="I1238">
        <v>52606.720000000001</v>
      </c>
      <c r="J1238">
        <v>2052.2399999999998</v>
      </c>
      <c r="K1238">
        <v>0</v>
      </c>
      <c r="L1238">
        <v>2025</v>
      </c>
    </row>
    <row r="1239" spans="1:12" x14ac:dyDescent="0.25">
      <c r="A1239" s="1" t="s">
        <v>1271</v>
      </c>
      <c r="B1239" s="1" t="s">
        <v>14</v>
      </c>
      <c r="C1239">
        <v>50</v>
      </c>
      <c r="D1239" s="1" t="s">
        <v>340</v>
      </c>
      <c r="E1239">
        <v>29184.49</v>
      </c>
      <c r="F1239">
        <v>21437.3</v>
      </c>
      <c r="G1239">
        <v>50</v>
      </c>
      <c r="H1239">
        <v>28</v>
      </c>
      <c r="I1239">
        <v>20306.13</v>
      </c>
      <c r="J1239">
        <v>4990.96</v>
      </c>
      <c r="K1239">
        <v>0</v>
      </c>
      <c r="L1239">
        <v>2025</v>
      </c>
    </row>
    <row r="1240" spans="1:12" x14ac:dyDescent="0.25">
      <c r="A1240" s="1" t="s">
        <v>1272</v>
      </c>
      <c r="B1240" s="1" t="s">
        <v>12</v>
      </c>
      <c r="C1240">
        <v>35</v>
      </c>
      <c r="D1240" s="1" t="s">
        <v>340</v>
      </c>
      <c r="E1240">
        <v>22436.51</v>
      </c>
      <c r="F1240">
        <v>21260.32</v>
      </c>
      <c r="G1240">
        <v>24</v>
      </c>
      <c r="H1240">
        <v>42</v>
      </c>
      <c r="I1240">
        <v>69869.350000000006</v>
      </c>
      <c r="J1240">
        <v>10736.59</v>
      </c>
      <c r="K1240">
        <v>0</v>
      </c>
      <c r="L1240">
        <v>2025</v>
      </c>
    </row>
    <row r="1241" spans="1:12" x14ac:dyDescent="0.25">
      <c r="A1241" s="1" t="s">
        <v>1273</v>
      </c>
      <c r="B1241" s="1" t="s">
        <v>17</v>
      </c>
      <c r="C1241">
        <v>11</v>
      </c>
      <c r="D1241" s="1" t="s">
        <v>340</v>
      </c>
      <c r="E1241">
        <v>19288.97</v>
      </c>
      <c r="F1241">
        <v>19400.86</v>
      </c>
      <c r="G1241">
        <v>10</v>
      </c>
      <c r="H1241">
        <v>9</v>
      </c>
      <c r="I1241">
        <v>35863.230000000003</v>
      </c>
      <c r="J1241">
        <v>0</v>
      </c>
      <c r="K1241">
        <v>0</v>
      </c>
      <c r="L1241">
        <v>2025</v>
      </c>
    </row>
    <row r="1242" spans="1:12" x14ac:dyDescent="0.25">
      <c r="A1242" s="1" t="s">
        <v>1274</v>
      </c>
      <c r="B1242" s="1" t="s">
        <v>14</v>
      </c>
      <c r="C1242">
        <v>66</v>
      </c>
      <c r="D1242" s="1" t="s">
        <v>340</v>
      </c>
      <c r="E1242">
        <v>42133.54</v>
      </c>
      <c r="F1242">
        <v>36313.269999999997</v>
      </c>
      <c r="G1242">
        <v>35</v>
      </c>
      <c r="H1242">
        <v>18</v>
      </c>
      <c r="I1242">
        <v>26192.43</v>
      </c>
      <c r="J1242">
        <v>5785.19</v>
      </c>
      <c r="K1242">
        <v>1</v>
      </c>
      <c r="L1242">
        <v>2025</v>
      </c>
    </row>
    <row r="1243" spans="1:12" x14ac:dyDescent="0.25">
      <c r="A1243" s="1" t="s">
        <v>1275</v>
      </c>
      <c r="B1243" s="1" t="s">
        <v>18</v>
      </c>
      <c r="C1243">
        <v>81</v>
      </c>
      <c r="D1243" s="1" t="s">
        <v>340</v>
      </c>
      <c r="E1243">
        <v>60254.559999999998</v>
      </c>
      <c r="F1243">
        <v>47260.77</v>
      </c>
      <c r="G1243">
        <v>18</v>
      </c>
      <c r="H1243">
        <v>35</v>
      </c>
      <c r="I1243">
        <v>56184.67</v>
      </c>
      <c r="J1243">
        <v>2621.96</v>
      </c>
      <c r="K1243">
        <v>1</v>
      </c>
      <c r="L1243">
        <v>2025</v>
      </c>
    </row>
    <row r="1244" spans="1:12" x14ac:dyDescent="0.25">
      <c r="A1244" s="1" t="s">
        <v>1276</v>
      </c>
      <c r="B1244" s="1" t="s">
        <v>16</v>
      </c>
      <c r="C1244">
        <v>109</v>
      </c>
      <c r="D1244" s="1" t="s">
        <v>340</v>
      </c>
      <c r="E1244">
        <v>90724.61</v>
      </c>
      <c r="F1244">
        <v>77776.429999999993</v>
      </c>
      <c r="G1244">
        <v>52</v>
      </c>
      <c r="H1244">
        <v>38</v>
      </c>
      <c r="I1244">
        <v>20509</v>
      </c>
      <c r="J1244">
        <v>3765.33</v>
      </c>
      <c r="K1244">
        <v>1</v>
      </c>
      <c r="L1244">
        <v>2025</v>
      </c>
    </row>
    <row r="1245" spans="1:12" x14ac:dyDescent="0.25">
      <c r="A1245" s="1" t="s">
        <v>1277</v>
      </c>
      <c r="B1245" s="1" t="s">
        <v>15</v>
      </c>
      <c r="C1245">
        <v>43</v>
      </c>
      <c r="D1245" s="1" t="s">
        <v>340</v>
      </c>
      <c r="E1245">
        <v>57734.57</v>
      </c>
      <c r="F1245">
        <v>49356.74</v>
      </c>
      <c r="G1245">
        <v>50</v>
      </c>
      <c r="H1245">
        <v>27</v>
      </c>
      <c r="I1245">
        <v>50945.86</v>
      </c>
      <c r="J1245">
        <v>8986.84</v>
      </c>
      <c r="K1245">
        <v>0</v>
      </c>
      <c r="L1245">
        <v>2025</v>
      </c>
    </row>
    <row r="1246" spans="1:12" x14ac:dyDescent="0.25">
      <c r="A1246" s="1" t="s">
        <v>1278</v>
      </c>
      <c r="B1246" s="1" t="s">
        <v>18</v>
      </c>
      <c r="C1246">
        <v>42</v>
      </c>
      <c r="D1246" s="1" t="s">
        <v>340</v>
      </c>
      <c r="E1246">
        <v>26962.880000000001</v>
      </c>
      <c r="F1246">
        <v>19161.03</v>
      </c>
      <c r="G1246">
        <v>28</v>
      </c>
      <c r="H1246">
        <v>31</v>
      </c>
      <c r="I1246">
        <v>54598.23</v>
      </c>
      <c r="J1246">
        <v>0</v>
      </c>
      <c r="K1246">
        <v>0</v>
      </c>
      <c r="L1246">
        <v>2025</v>
      </c>
    </row>
    <row r="1247" spans="1:12" x14ac:dyDescent="0.25">
      <c r="A1247" s="1" t="s">
        <v>1279</v>
      </c>
      <c r="B1247" s="1" t="s">
        <v>17</v>
      </c>
      <c r="C1247">
        <v>30</v>
      </c>
      <c r="D1247" s="1" t="s">
        <v>340</v>
      </c>
      <c r="E1247">
        <v>36293.06</v>
      </c>
      <c r="F1247">
        <v>21423.71</v>
      </c>
      <c r="G1247">
        <v>10</v>
      </c>
      <c r="H1247">
        <v>44</v>
      </c>
      <c r="I1247">
        <v>48532.54</v>
      </c>
      <c r="J1247">
        <v>1429.95</v>
      </c>
      <c r="K1247">
        <v>0</v>
      </c>
      <c r="L1247">
        <v>2025</v>
      </c>
    </row>
    <row r="1248" spans="1:12" x14ac:dyDescent="0.25">
      <c r="A1248" s="1" t="s">
        <v>1280</v>
      </c>
      <c r="B1248" s="1" t="s">
        <v>15</v>
      </c>
      <c r="C1248">
        <v>115</v>
      </c>
      <c r="D1248" s="1" t="s">
        <v>340</v>
      </c>
      <c r="E1248">
        <v>91832.26</v>
      </c>
      <c r="F1248">
        <v>56435.1</v>
      </c>
      <c r="G1248">
        <v>22</v>
      </c>
      <c r="H1248">
        <v>28</v>
      </c>
      <c r="I1248">
        <v>40241.85</v>
      </c>
      <c r="J1248">
        <v>0</v>
      </c>
      <c r="K1248">
        <v>0</v>
      </c>
      <c r="L1248">
        <v>2025</v>
      </c>
    </row>
    <row r="1249" spans="1:12" x14ac:dyDescent="0.25">
      <c r="A1249" s="1" t="s">
        <v>1281</v>
      </c>
      <c r="B1249" s="1" t="s">
        <v>12</v>
      </c>
      <c r="C1249">
        <v>108</v>
      </c>
      <c r="D1249" s="1" t="s">
        <v>340</v>
      </c>
      <c r="E1249">
        <v>79928.97</v>
      </c>
      <c r="F1249">
        <v>61698.28</v>
      </c>
      <c r="G1249">
        <v>33</v>
      </c>
      <c r="H1249">
        <v>22</v>
      </c>
      <c r="I1249">
        <v>46492.72</v>
      </c>
      <c r="J1249">
        <v>2038.94</v>
      </c>
      <c r="K1249">
        <v>0</v>
      </c>
      <c r="L1249">
        <v>2025</v>
      </c>
    </row>
    <row r="1250" spans="1:12" x14ac:dyDescent="0.25">
      <c r="A1250" s="1" t="s">
        <v>1282</v>
      </c>
      <c r="B1250" s="1" t="s">
        <v>16</v>
      </c>
      <c r="C1250">
        <v>69</v>
      </c>
      <c r="D1250" s="1" t="s">
        <v>340</v>
      </c>
      <c r="E1250">
        <v>46396.12</v>
      </c>
      <c r="F1250">
        <v>47509.68</v>
      </c>
      <c r="G1250">
        <v>47</v>
      </c>
      <c r="H1250">
        <v>13</v>
      </c>
      <c r="I1250">
        <v>7613.71</v>
      </c>
      <c r="J1250">
        <v>5736.96</v>
      </c>
      <c r="K1250">
        <v>0</v>
      </c>
      <c r="L1250">
        <v>2025</v>
      </c>
    </row>
    <row r="1251" spans="1:12" x14ac:dyDescent="0.25">
      <c r="A1251" s="1" t="s">
        <v>1283</v>
      </c>
      <c r="B1251" s="1" t="s">
        <v>18</v>
      </c>
      <c r="C1251">
        <v>56</v>
      </c>
      <c r="D1251" s="1" t="s">
        <v>340</v>
      </c>
      <c r="E1251">
        <v>82059.62</v>
      </c>
      <c r="F1251">
        <v>70562.95</v>
      </c>
      <c r="G1251">
        <v>74</v>
      </c>
      <c r="H1251">
        <v>53</v>
      </c>
      <c r="I1251">
        <v>62603.67</v>
      </c>
      <c r="J1251">
        <v>0</v>
      </c>
      <c r="K1251">
        <v>0</v>
      </c>
      <c r="L1251">
        <v>2025</v>
      </c>
    </row>
    <row r="1252" spans="1:12" x14ac:dyDescent="0.25">
      <c r="A1252" s="1" t="s">
        <v>1284</v>
      </c>
      <c r="B1252" s="1" t="s">
        <v>16</v>
      </c>
      <c r="C1252">
        <v>48</v>
      </c>
      <c r="D1252" s="1" t="s">
        <v>340</v>
      </c>
      <c r="E1252">
        <v>43471.56</v>
      </c>
      <c r="F1252">
        <v>25305.360000000001</v>
      </c>
      <c r="G1252">
        <v>10</v>
      </c>
      <c r="H1252">
        <v>17</v>
      </c>
      <c r="I1252">
        <v>56316.68</v>
      </c>
      <c r="J1252">
        <v>0</v>
      </c>
      <c r="K1252">
        <v>0</v>
      </c>
      <c r="L1252">
        <v>2025</v>
      </c>
    </row>
    <row r="1253" spans="1:12" x14ac:dyDescent="0.25">
      <c r="A1253" s="1" t="s">
        <v>1285</v>
      </c>
      <c r="B1253" s="1" t="s">
        <v>18</v>
      </c>
      <c r="C1253">
        <v>16</v>
      </c>
      <c r="D1253" s="1" t="s">
        <v>340</v>
      </c>
      <c r="E1253">
        <v>15391.05</v>
      </c>
      <c r="F1253">
        <v>15054.35</v>
      </c>
      <c r="G1253">
        <v>61</v>
      </c>
      <c r="H1253">
        <v>13</v>
      </c>
      <c r="I1253">
        <v>53611.08</v>
      </c>
      <c r="J1253">
        <v>6091.19</v>
      </c>
      <c r="K1253">
        <v>1</v>
      </c>
      <c r="L1253">
        <v>2025</v>
      </c>
    </row>
    <row r="1254" spans="1:12" x14ac:dyDescent="0.25">
      <c r="A1254" s="1" t="s">
        <v>1286</v>
      </c>
      <c r="B1254" s="1" t="s">
        <v>14</v>
      </c>
      <c r="C1254">
        <v>18</v>
      </c>
      <c r="D1254" s="1" t="s">
        <v>340</v>
      </c>
      <c r="E1254">
        <v>14958.16</v>
      </c>
      <c r="F1254">
        <v>13566.5</v>
      </c>
      <c r="G1254">
        <v>24</v>
      </c>
      <c r="H1254">
        <v>20</v>
      </c>
      <c r="I1254">
        <v>53650.86</v>
      </c>
      <c r="J1254">
        <v>9066.09</v>
      </c>
      <c r="K1254">
        <v>0</v>
      </c>
      <c r="L1254">
        <v>2025</v>
      </c>
    </row>
    <row r="1255" spans="1:12" x14ac:dyDescent="0.25">
      <c r="A1255" s="1" t="s">
        <v>1287</v>
      </c>
      <c r="B1255" s="1" t="s">
        <v>14</v>
      </c>
      <c r="C1255">
        <v>28</v>
      </c>
      <c r="D1255" s="1" t="s">
        <v>340</v>
      </c>
      <c r="E1255">
        <v>37030.21</v>
      </c>
      <c r="F1255">
        <v>39226.699999999997</v>
      </c>
      <c r="G1255">
        <v>56</v>
      </c>
      <c r="H1255">
        <v>14</v>
      </c>
      <c r="I1255">
        <v>9649.76</v>
      </c>
      <c r="J1255">
        <v>2847.49</v>
      </c>
      <c r="K1255">
        <v>0</v>
      </c>
      <c r="L1255">
        <v>2025</v>
      </c>
    </row>
    <row r="1256" spans="1:12" x14ac:dyDescent="0.25">
      <c r="A1256" s="1" t="s">
        <v>1288</v>
      </c>
      <c r="B1256" s="1" t="s">
        <v>15</v>
      </c>
      <c r="C1256">
        <v>22</v>
      </c>
      <c r="D1256" s="1" t="s">
        <v>340</v>
      </c>
      <c r="E1256">
        <v>36523.440000000002</v>
      </c>
      <c r="F1256">
        <v>35948.67</v>
      </c>
      <c r="G1256">
        <v>58</v>
      </c>
      <c r="H1256">
        <v>53</v>
      </c>
      <c r="I1256">
        <v>52337.34</v>
      </c>
      <c r="J1256">
        <v>5454.96</v>
      </c>
      <c r="K1256">
        <v>1</v>
      </c>
      <c r="L1256">
        <v>2025</v>
      </c>
    </row>
    <row r="1257" spans="1:12" x14ac:dyDescent="0.25">
      <c r="A1257" s="1" t="s">
        <v>1289</v>
      </c>
      <c r="B1257" s="1" t="s">
        <v>14</v>
      </c>
      <c r="C1257">
        <v>72</v>
      </c>
      <c r="D1257" s="1" t="s">
        <v>340</v>
      </c>
      <c r="E1257">
        <v>66448.149999999994</v>
      </c>
      <c r="F1257">
        <v>43767.199999999997</v>
      </c>
      <c r="G1257">
        <v>23</v>
      </c>
      <c r="H1257">
        <v>8</v>
      </c>
      <c r="I1257">
        <v>26462.22</v>
      </c>
      <c r="J1257">
        <v>13662.2</v>
      </c>
      <c r="K1257">
        <v>0</v>
      </c>
      <c r="L1257">
        <v>2025</v>
      </c>
    </row>
    <row r="1258" spans="1:12" x14ac:dyDescent="0.25">
      <c r="A1258" s="1" t="s">
        <v>1290</v>
      </c>
      <c r="B1258" s="1" t="s">
        <v>15</v>
      </c>
      <c r="C1258">
        <v>89</v>
      </c>
      <c r="D1258" s="1" t="s">
        <v>340</v>
      </c>
      <c r="E1258">
        <v>73203.53</v>
      </c>
      <c r="F1258">
        <v>53056.99</v>
      </c>
      <c r="G1258">
        <v>59</v>
      </c>
      <c r="H1258">
        <v>0</v>
      </c>
      <c r="I1258">
        <v>47330.01</v>
      </c>
      <c r="J1258">
        <v>4607.09</v>
      </c>
      <c r="K1258">
        <v>0</v>
      </c>
      <c r="L1258">
        <v>2025</v>
      </c>
    </row>
    <row r="1259" spans="1:12" x14ac:dyDescent="0.25">
      <c r="A1259" s="1" t="s">
        <v>1291</v>
      </c>
      <c r="B1259" s="1" t="s">
        <v>16</v>
      </c>
      <c r="C1259">
        <v>103</v>
      </c>
      <c r="D1259" s="1" t="s">
        <v>340</v>
      </c>
      <c r="E1259">
        <v>88169.53</v>
      </c>
      <c r="F1259">
        <v>89418.32</v>
      </c>
      <c r="G1259">
        <v>13</v>
      </c>
      <c r="H1259">
        <v>0</v>
      </c>
      <c r="I1259">
        <v>54407.45</v>
      </c>
      <c r="J1259">
        <v>4354.62</v>
      </c>
      <c r="K1259">
        <v>0</v>
      </c>
      <c r="L1259">
        <v>2025</v>
      </c>
    </row>
    <row r="1260" spans="1:12" x14ac:dyDescent="0.25">
      <c r="A1260" s="1" t="s">
        <v>1292</v>
      </c>
      <c r="B1260" s="1" t="s">
        <v>17</v>
      </c>
      <c r="C1260">
        <v>44</v>
      </c>
      <c r="D1260" s="1" t="s">
        <v>340</v>
      </c>
      <c r="E1260">
        <v>51337.19</v>
      </c>
      <c r="F1260">
        <v>47477.63</v>
      </c>
      <c r="G1260">
        <v>35</v>
      </c>
      <c r="H1260">
        <v>32</v>
      </c>
      <c r="I1260">
        <v>59855.4</v>
      </c>
      <c r="J1260">
        <v>6173.94</v>
      </c>
      <c r="K1260">
        <v>0</v>
      </c>
      <c r="L1260">
        <v>2025</v>
      </c>
    </row>
    <row r="1261" spans="1:12" x14ac:dyDescent="0.25">
      <c r="A1261" s="1" t="s">
        <v>1293</v>
      </c>
      <c r="B1261" s="1" t="s">
        <v>17</v>
      </c>
      <c r="C1261">
        <v>9</v>
      </c>
      <c r="D1261" s="1" t="s">
        <v>340</v>
      </c>
      <c r="E1261">
        <v>5258.59</v>
      </c>
      <c r="F1261">
        <v>5508.33</v>
      </c>
      <c r="G1261">
        <v>56</v>
      </c>
      <c r="H1261">
        <v>73</v>
      </c>
      <c r="I1261">
        <v>78356.78</v>
      </c>
      <c r="J1261">
        <v>11555.63</v>
      </c>
      <c r="K1261">
        <v>0</v>
      </c>
      <c r="L1261">
        <v>2025</v>
      </c>
    </row>
    <row r="1262" spans="1:12" x14ac:dyDescent="0.25">
      <c r="A1262" s="1" t="s">
        <v>1294</v>
      </c>
      <c r="B1262" s="1" t="s">
        <v>12</v>
      </c>
      <c r="C1262">
        <v>112</v>
      </c>
      <c r="D1262" s="1" t="s">
        <v>340</v>
      </c>
      <c r="E1262">
        <v>87823.74</v>
      </c>
      <c r="F1262">
        <v>89903.25</v>
      </c>
      <c r="G1262">
        <v>57</v>
      </c>
      <c r="H1262">
        <v>40</v>
      </c>
      <c r="I1262">
        <v>66515.27</v>
      </c>
      <c r="J1262">
        <v>12502.78</v>
      </c>
      <c r="K1262">
        <v>0</v>
      </c>
      <c r="L1262">
        <v>2025</v>
      </c>
    </row>
    <row r="1263" spans="1:12" x14ac:dyDescent="0.25">
      <c r="A1263" s="1" t="s">
        <v>1295</v>
      </c>
      <c r="B1263" s="1" t="s">
        <v>16</v>
      </c>
      <c r="C1263">
        <v>99</v>
      </c>
      <c r="D1263" s="1" t="s">
        <v>340</v>
      </c>
      <c r="E1263">
        <v>86569.74</v>
      </c>
      <c r="F1263">
        <v>60848.62</v>
      </c>
      <c r="G1263">
        <v>12</v>
      </c>
      <c r="H1263">
        <v>31</v>
      </c>
      <c r="I1263">
        <v>49935.47</v>
      </c>
      <c r="J1263">
        <v>0</v>
      </c>
      <c r="K1263">
        <v>0</v>
      </c>
      <c r="L1263">
        <v>2025</v>
      </c>
    </row>
    <row r="1264" spans="1:12" x14ac:dyDescent="0.25">
      <c r="A1264" s="1" t="s">
        <v>1296</v>
      </c>
      <c r="B1264" s="1" t="s">
        <v>15</v>
      </c>
      <c r="C1264">
        <v>50</v>
      </c>
      <c r="D1264" s="1" t="s">
        <v>340</v>
      </c>
      <c r="E1264">
        <v>57261.53</v>
      </c>
      <c r="F1264">
        <v>57786.54</v>
      </c>
      <c r="G1264">
        <v>10</v>
      </c>
      <c r="H1264">
        <v>41</v>
      </c>
      <c r="I1264">
        <v>31575.21</v>
      </c>
      <c r="J1264">
        <v>842.24</v>
      </c>
      <c r="K1264">
        <v>0</v>
      </c>
      <c r="L1264">
        <v>2025</v>
      </c>
    </row>
    <row r="1265" spans="1:12" x14ac:dyDescent="0.25">
      <c r="A1265" s="1" t="s">
        <v>1297</v>
      </c>
      <c r="B1265" s="1" t="s">
        <v>16</v>
      </c>
      <c r="C1265">
        <v>27</v>
      </c>
      <c r="D1265" s="1" t="s">
        <v>340</v>
      </c>
      <c r="E1265">
        <v>23470.19</v>
      </c>
      <c r="F1265">
        <v>24444.51</v>
      </c>
      <c r="G1265">
        <v>13</v>
      </c>
      <c r="H1265">
        <v>56</v>
      </c>
      <c r="I1265">
        <v>25169.5</v>
      </c>
      <c r="J1265">
        <v>2584.4499999999998</v>
      </c>
      <c r="K1265">
        <v>1</v>
      </c>
      <c r="L1265">
        <v>2025</v>
      </c>
    </row>
    <row r="1266" spans="1:12" x14ac:dyDescent="0.25">
      <c r="A1266" s="1" t="s">
        <v>1298</v>
      </c>
      <c r="B1266" s="1" t="s">
        <v>16</v>
      </c>
      <c r="C1266">
        <v>100</v>
      </c>
      <c r="D1266" s="1" t="s">
        <v>340</v>
      </c>
      <c r="E1266">
        <v>90541.119999999995</v>
      </c>
      <c r="F1266">
        <v>78001.279999999999</v>
      </c>
      <c r="G1266">
        <v>28</v>
      </c>
      <c r="H1266">
        <v>45</v>
      </c>
      <c r="I1266">
        <v>6098.75</v>
      </c>
      <c r="J1266">
        <v>4719.66</v>
      </c>
      <c r="K1266">
        <v>0</v>
      </c>
      <c r="L1266">
        <v>2025</v>
      </c>
    </row>
    <row r="1267" spans="1:12" x14ac:dyDescent="0.25">
      <c r="A1267" s="1" t="s">
        <v>1299</v>
      </c>
      <c r="B1267" s="1" t="s">
        <v>17</v>
      </c>
      <c r="C1267">
        <v>108</v>
      </c>
      <c r="D1267" s="1" t="s">
        <v>340</v>
      </c>
      <c r="E1267">
        <v>96391.360000000001</v>
      </c>
      <c r="F1267">
        <v>89820.17</v>
      </c>
      <c r="G1267">
        <v>54</v>
      </c>
      <c r="H1267">
        <v>20</v>
      </c>
      <c r="I1267">
        <v>15904.5</v>
      </c>
      <c r="J1267">
        <v>7121.14</v>
      </c>
      <c r="K1267">
        <v>0</v>
      </c>
      <c r="L1267">
        <v>2025</v>
      </c>
    </row>
    <row r="1268" spans="1:12" x14ac:dyDescent="0.25">
      <c r="A1268" s="1" t="s">
        <v>1300</v>
      </c>
      <c r="B1268" s="1" t="s">
        <v>18</v>
      </c>
      <c r="C1268">
        <v>12</v>
      </c>
      <c r="D1268" s="1" t="s">
        <v>340</v>
      </c>
      <c r="E1268">
        <v>26233.97</v>
      </c>
      <c r="F1268">
        <v>22338.6</v>
      </c>
      <c r="G1268">
        <v>64</v>
      </c>
      <c r="H1268">
        <v>57</v>
      </c>
      <c r="I1268">
        <v>22827.27</v>
      </c>
      <c r="J1268">
        <v>2961.36</v>
      </c>
      <c r="K1268">
        <v>0</v>
      </c>
      <c r="L1268">
        <v>2025</v>
      </c>
    </row>
    <row r="1269" spans="1:12" x14ac:dyDescent="0.25">
      <c r="A1269" s="1" t="s">
        <v>1301</v>
      </c>
      <c r="B1269" s="1" t="s">
        <v>14</v>
      </c>
      <c r="C1269">
        <v>119</v>
      </c>
      <c r="D1269" s="1" t="s">
        <v>340</v>
      </c>
      <c r="E1269">
        <v>102960.78</v>
      </c>
      <c r="F1269">
        <v>65453.18</v>
      </c>
      <c r="G1269">
        <v>41</v>
      </c>
      <c r="H1269">
        <v>0</v>
      </c>
      <c r="I1269">
        <v>18435.14</v>
      </c>
      <c r="J1269">
        <v>4708.12</v>
      </c>
      <c r="K1269">
        <v>0</v>
      </c>
      <c r="L1269">
        <v>2025</v>
      </c>
    </row>
    <row r="1270" spans="1:12" x14ac:dyDescent="0.25">
      <c r="A1270" s="1" t="s">
        <v>1302</v>
      </c>
      <c r="B1270" s="1" t="s">
        <v>16</v>
      </c>
      <c r="C1270">
        <v>32</v>
      </c>
      <c r="D1270" s="1" t="s">
        <v>340</v>
      </c>
      <c r="E1270">
        <v>45791.92</v>
      </c>
      <c r="F1270">
        <v>38019.29</v>
      </c>
      <c r="G1270">
        <v>43</v>
      </c>
      <c r="H1270">
        <v>86</v>
      </c>
      <c r="I1270">
        <v>34811.89</v>
      </c>
      <c r="J1270">
        <v>7397.51</v>
      </c>
      <c r="K1270">
        <v>1</v>
      </c>
      <c r="L1270">
        <v>2025</v>
      </c>
    </row>
    <row r="1271" spans="1:12" x14ac:dyDescent="0.25">
      <c r="A1271" s="1" t="s">
        <v>1303</v>
      </c>
      <c r="B1271" s="1" t="s">
        <v>16</v>
      </c>
      <c r="C1271">
        <v>115</v>
      </c>
      <c r="D1271" s="1" t="s">
        <v>340</v>
      </c>
      <c r="E1271">
        <v>110473.47</v>
      </c>
      <c r="F1271">
        <v>71007.539999999994</v>
      </c>
      <c r="G1271">
        <v>33</v>
      </c>
      <c r="H1271">
        <v>59</v>
      </c>
      <c r="I1271">
        <v>25100.98</v>
      </c>
      <c r="J1271">
        <v>4225.8100000000004</v>
      </c>
      <c r="K1271">
        <v>0</v>
      </c>
      <c r="L1271">
        <v>2025</v>
      </c>
    </row>
    <row r="1272" spans="1:12" x14ac:dyDescent="0.25">
      <c r="A1272" s="1" t="s">
        <v>1304</v>
      </c>
      <c r="B1272" s="1" t="s">
        <v>15</v>
      </c>
      <c r="C1272">
        <v>62</v>
      </c>
      <c r="D1272" s="1" t="s">
        <v>340</v>
      </c>
      <c r="E1272">
        <v>45505.84</v>
      </c>
      <c r="F1272">
        <v>47760.93</v>
      </c>
      <c r="G1272">
        <v>45</v>
      </c>
      <c r="H1272">
        <v>22</v>
      </c>
      <c r="I1272">
        <v>32772.080000000002</v>
      </c>
      <c r="J1272">
        <v>0</v>
      </c>
      <c r="K1272">
        <v>0</v>
      </c>
      <c r="L1272">
        <v>2025</v>
      </c>
    </row>
    <row r="1273" spans="1:12" x14ac:dyDescent="0.25">
      <c r="A1273" s="1" t="s">
        <v>1305</v>
      </c>
      <c r="B1273" s="1" t="s">
        <v>12</v>
      </c>
      <c r="C1273">
        <v>83</v>
      </c>
      <c r="D1273" s="1" t="s">
        <v>340</v>
      </c>
      <c r="E1273">
        <v>56906.82</v>
      </c>
      <c r="F1273">
        <v>58214.53</v>
      </c>
      <c r="G1273">
        <v>60</v>
      </c>
      <c r="H1273">
        <v>44</v>
      </c>
      <c r="I1273">
        <v>34627.279999999999</v>
      </c>
      <c r="J1273">
        <v>2077.54</v>
      </c>
      <c r="K1273">
        <v>0</v>
      </c>
      <c r="L1273">
        <v>2025</v>
      </c>
    </row>
    <row r="1274" spans="1:12" x14ac:dyDescent="0.25">
      <c r="A1274" s="1" t="s">
        <v>1306</v>
      </c>
      <c r="B1274" s="1" t="s">
        <v>15</v>
      </c>
      <c r="C1274">
        <v>91</v>
      </c>
      <c r="D1274" s="1" t="s">
        <v>340</v>
      </c>
      <c r="E1274">
        <v>67768.070000000007</v>
      </c>
      <c r="F1274">
        <v>58564.85</v>
      </c>
      <c r="G1274">
        <v>39</v>
      </c>
      <c r="H1274">
        <v>44</v>
      </c>
      <c r="I1274">
        <v>18882.63</v>
      </c>
      <c r="J1274">
        <v>5802.99</v>
      </c>
      <c r="K1274">
        <v>0</v>
      </c>
      <c r="L1274">
        <v>2025</v>
      </c>
    </row>
    <row r="1275" spans="1:12" x14ac:dyDescent="0.25">
      <c r="A1275" s="1" t="s">
        <v>1307</v>
      </c>
      <c r="B1275" s="1" t="s">
        <v>16</v>
      </c>
      <c r="C1275">
        <v>12</v>
      </c>
      <c r="D1275" s="1" t="s">
        <v>340</v>
      </c>
      <c r="E1275">
        <v>4000</v>
      </c>
      <c r="F1275">
        <v>4256.6400000000003</v>
      </c>
      <c r="G1275">
        <v>56</v>
      </c>
      <c r="H1275">
        <v>31</v>
      </c>
      <c r="I1275">
        <v>13709.2</v>
      </c>
      <c r="J1275">
        <v>2073.41</v>
      </c>
      <c r="K1275">
        <v>0</v>
      </c>
      <c r="L1275">
        <v>2025</v>
      </c>
    </row>
    <row r="1276" spans="1:12" x14ac:dyDescent="0.25">
      <c r="A1276" s="1" t="s">
        <v>1308</v>
      </c>
      <c r="B1276" s="1" t="s">
        <v>12</v>
      </c>
      <c r="C1276">
        <v>55</v>
      </c>
      <c r="D1276" s="1" t="s">
        <v>340</v>
      </c>
      <c r="E1276">
        <v>43898.78</v>
      </c>
      <c r="F1276">
        <v>30448.959999999999</v>
      </c>
      <c r="G1276">
        <v>23</v>
      </c>
      <c r="H1276">
        <v>53</v>
      </c>
      <c r="I1276">
        <v>45361.73</v>
      </c>
      <c r="J1276">
        <v>6834.79</v>
      </c>
      <c r="K1276">
        <v>0</v>
      </c>
      <c r="L1276">
        <v>2025</v>
      </c>
    </row>
    <row r="1277" spans="1:12" x14ac:dyDescent="0.25">
      <c r="A1277" s="1" t="s">
        <v>1309</v>
      </c>
      <c r="B1277" s="1" t="s">
        <v>15</v>
      </c>
      <c r="C1277">
        <v>108</v>
      </c>
      <c r="D1277" s="1" t="s">
        <v>340</v>
      </c>
      <c r="E1277">
        <v>86009.07</v>
      </c>
      <c r="F1277">
        <v>86083.71</v>
      </c>
      <c r="G1277">
        <v>35</v>
      </c>
      <c r="H1277">
        <v>46</v>
      </c>
      <c r="I1277">
        <v>36305.89</v>
      </c>
      <c r="J1277">
        <v>7874.14</v>
      </c>
      <c r="K1277">
        <v>0</v>
      </c>
      <c r="L1277">
        <v>2025</v>
      </c>
    </row>
    <row r="1278" spans="1:12" x14ac:dyDescent="0.25">
      <c r="A1278" s="1" t="s">
        <v>1310</v>
      </c>
      <c r="B1278" s="1" t="s">
        <v>14</v>
      </c>
      <c r="C1278">
        <v>46</v>
      </c>
      <c r="D1278" s="1" t="s">
        <v>340</v>
      </c>
      <c r="E1278">
        <v>23981.74</v>
      </c>
      <c r="F1278">
        <v>19882.14</v>
      </c>
      <c r="G1278">
        <v>35</v>
      </c>
      <c r="H1278">
        <v>48</v>
      </c>
      <c r="I1278">
        <v>16628.669999999998</v>
      </c>
      <c r="J1278">
        <v>6680.41</v>
      </c>
      <c r="K1278">
        <v>0</v>
      </c>
      <c r="L1278">
        <v>2025</v>
      </c>
    </row>
    <row r="1279" spans="1:12" x14ac:dyDescent="0.25">
      <c r="A1279" s="1" t="s">
        <v>1311</v>
      </c>
      <c r="B1279" s="1" t="s">
        <v>16</v>
      </c>
      <c r="C1279">
        <v>59</v>
      </c>
      <c r="D1279" s="1" t="s">
        <v>340</v>
      </c>
      <c r="E1279">
        <v>56984.63</v>
      </c>
      <c r="F1279">
        <v>34614.620000000003</v>
      </c>
      <c r="G1279">
        <v>31</v>
      </c>
      <c r="H1279">
        <v>13</v>
      </c>
      <c r="I1279">
        <v>43074.5</v>
      </c>
      <c r="J1279">
        <v>8068.33</v>
      </c>
      <c r="K1279">
        <v>0</v>
      </c>
      <c r="L1279">
        <v>2025</v>
      </c>
    </row>
    <row r="1280" spans="1:12" x14ac:dyDescent="0.25">
      <c r="A1280" s="1" t="s">
        <v>1312</v>
      </c>
      <c r="B1280" s="1" t="s">
        <v>12</v>
      </c>
      <c r="C1280">
        <v>67</v>
      </c>
      <c r="D1280" s="1" t="s">
        <v>340</v>
      </c>
      <c r="E1280">
        <v>52672.91</v>
      </c>
      <c r="F1280">
        <v>47128.4</v>
      </c>
      <c r="G1280">
        <v>21</v>
      </c>
      <c r="H1280">
        <v>40</v>
      </c>
      <c r="I1280">
        <v>10695.3</v>
      </c>
      <c r="J1280">
        <v>2540.0700000000002</v>
      </c>
      <c r="K1280">
        <v>0</v>
      </c>
      <c r="L1280">
        <v>2025</v>
      </c>
    </row>
    <row r="1281" spans="1:12" x14ac:dyDescent="0.25">
      <c r="A1281" s="1" t="s">
        <v>1313</v>
      </c>
      <c r="B1281" s="1" t="s">
        <v>16</v>
      </c>
      <c r="C1281">
        <v>19</v>
      </c>
      <c r="D1281" s="1" t="s">
        <v>422</v>
      </c>
      <c r="E1281">
        <v>28376.55</v>
      </c>
      <c r="F1281">
        <v>16862.05</v>
      </c>
      <c r="G1281">
        <v>52</v>
      </c>
      <c r="H1281">
        <v>0</v>
      </c>
      <c r="I1281">
        <v>89368.6</v>
      </c>
      <c r="J1281">
        <v>5780.85</v>
      </c>
      <c r="K1281">
        <v>0</v>
      </c>
      <c r="L1281">
        <v>2025</v>
      </c>
    </row>
    <row r="1282" spans="1:12" x14ac:dyDescent="0.25">
      <c r="A1282" s="1" t="s">
        <v>1314</v>
      </c>
      <c r="B1282" s="1" t="s">
        <v>17</v>
      </c>
      <c r="C1282">
        <v>48</v>
      </c>
      <c r="D1282" s="1" t="s">
        <v>422</v>
      </c>
      <c r="E1282">
        <v>38776.22</v>
      </c>
      <c r="F1282">
        <v>34981.269999999997</v>
      </c>
      <c r="G1282">
        <v>10</v>
      </c>
      <c r="H1282">
        <v>47</v>
      </c>
      <c r="I1282">
        <v>92101.81</v>
      </c>
      <c r="J1282">
        <v>3506.06</v>
      </c>
      <c r="K1282">
        <v>0</v>
      </c>
      <c r="L1282">
        <v>2025</v>
      </c>
    </row>
    <row r="1283" spans="1:12" x14ac:dyDescent="0.25">
      <c r="A1283" s="1" t="s">
        <v>1315</v>
      </c>
      <c r="B1283" s="1" t="s">
        <v>15</v>
      </c>
      <c r="C1283">
        <v>9</v>
      </c>
      <c r="D1283" s="1" t="s">
        <v>422</v>
      </c>
      <c r="E1283">
        <v>18796.34</v>
      </c>
      <c r="F1283">
        <v>18715.689999999999</v>
      </c>
      <c r="G1283">
        <v>47</v>
      </c>
      <c r="H1283">
        <v>5</v>
      </c>
      <c r="I1283">
        <v>0</v>
      </c>
      <c r="J1283">
        <v>7409.83</v>
      </c>
      <c r="K1283">
        <v>0</v>
      </c>
      <c r="L1283">
        <v>2025</v>
      </c>
    </row>
    <row r="1284" spans="1:12" x14ac:dyDescent="0.25">
      <c r="A1284" s="1" t="s">
        <v>1316</v>
      </c>
      <c r="B1284" s="1" t="s">
        <v>16</v>
      </c>
      <c r="C1284">
        <v>75</v>
      </c>
      <c r="D1284" s="1" t="s">
        <v>422</v>
      </c>
      <c r="E1284">
        <v>70952.740000000005</v>
      </c>
      <c r="F1284">
        <v>49250.95</v>
      </c>
      <c r="G1284">
        <v>22</v>
      </c>
      <c r="H1284">
        <v>19</v>
      </c>
      <c r="I1284">
        <v>2686.24</v>
      </c>
      <c r="J1284">
        <v>8708.49</v>
      </c>
      <c r="K1284">
        <v>0</v>
      </c>
      <c r="L1284">
        <v>2025</v>
      </c>
    </row>
    <row r="1285" spans="1:12" x14ac:dyDescent="0.25">
      <c r="A1285" s="1" t="s">
        <v>1317</v>
      </c>
      <c r="B1285" s="1" t="s">
        <v>18</v>
      </c>
      <c r="C1285">
        <v>67</v>
      </c>
      <c r="D1285" s="1" t="s">
        <v>422</v>
      </c>
      <c r="E1285">
        <v>62036.27</v>
      </c>
      <c r="F1285">
        <v>44671.93</v>
      </c>
      <c r="G1285">
        <v>35</v>
      </c>
      <c r="H1285">
        <v>0</v>
      </c>
      <c r="I1285">
        <v>0</v>
      </c>
      <c r="J1285">
        <v>2725.14</v>
      </c>
      <c r="K1285">
        <v>0</v>
      </c>
      <c r="L1285">
        <v>2025</v>
      </c>
    </row>
    <row r="1286" spans="1:12" x14ac:dyDescent="0.25">
      <c r="A1286" s="1" t="s">
        <v>1318</v>
      </c>
      <c r="B1286" s="1" t="s">
        <v>18</v>
      </c>
      <c r="C1286">
        <v>72</v>
      </c>
      <c r="D1286" s="1" t="s">
        <v>422</v>
      </c>
      <c r="E1286">
        <v>51935.82</v>
      </c>
      <c r="F1286">
        <v>32310.92</v>
      </c>
      <c r="G1286">
        <v>73</v>
      </c>
      <c r="H1286">
        <v>38</v>
      </c>
      <c r="I1286">
        <v>66900.22</v>
      </c>
      <c r="J1286">
        <v>0</v>
      </c>
      <c r="K1286">
        <v>0</v>
      </c>
      <c r="L1286">
        <v>2025</v>
      </c>
    </row>
    <row r="1287" spans="1:12" x14ac:dyDescent="0.25">
      <c r="A1287" s="1" t="s">
        <v>1319</v>
      </c>
      <c r="B1287" s="1" t="s">
        <v>16</v>
      </c>
      <c r="C1287">
        <v>25</v>
      </c>
      <c r="D1287" s="1" t="s">
        <v>422</v>
      </c>
      <c r="E1287">
        <v>15560.08</v>
      </c>
      <c r="F1287">
        <v>11110.56</v>
      </c>
      <c r="G1287">
        <v>28</v>
      </c>
      <c r="H1287">
        <v>41</v>
      </c>
      <c r="I1287">
        <v>4636</v>
      </c>
      <c r="J1287">
        <v>3109.3</v>
      </c>
      <c r="K1287">
        <v>0</v>
      </c>
      <c r="L1287">
        <v>2025</v>
      </c>
    </row>
    <row r="1288" spans="1:12" x14ac:dyDescent="0.25">
      <c r="A1288" s="1" t="s">
        <v>1320</v>
      </c>
      <c r="B1288" s="1" t="s">
        <v>17</v>
      </c>
      <c r="C1288">
        <v>93</v>
      </c>
      <c r="D1288" s="1" t="s">
        <v>422</v>
      </c>
      <c r="E1288">
        <v>74036.460000000006</v>
      </c>
      <c r="F1288">
        <v>77190.570000000007</v>
      </c>
      <c r="G1288">
        <v>60</v>
      </c>
      <c r="H1288">
        <v>39</v>
      </c>
      <c r="I1288">
        <v>43351.33</v>
      </c>
      <c r="J1288">
        <v>4354.28</v>
      </c>
      <c r="K1288">
        <v>0</v>
      </c>
      <c r="L1288">
        <v>2025</v>
      </c>
    </row>
    <row r="1289" spans="1:12" x14ac:dyDescent="0.25">
      <c r="A1289" s="1" t="s">
        <v>1321</v>
      </c>
      <c r="B1289" s="1" t="s">
        <v>15</v>
      </c>
      <c r="C1289">
        <v>23</v>
      </c>
      <c r="D1289" s="1" t="s">
        <v>422</v>
      </c>
      <c r="E1289">
        <v>37079.5</v>
      </c>
      <c r="F1289">
        <v>38841.129999999997</v>
      </c>
      <c r="G1289">
        <v>28</v>
      </c>
      <c r="H1289">
        <v>0</v>
      </c>
      <c r="I1289">
        <v>22116.93</v>
      </c>
      <c r="J1289">
        <v>2364.84</v>
      </c>
      <c r="K1289">
        <v>0</v>
      </c>
      <c r="L1289">
        <v>2025</v>
      </c>
    </row>
    <row r="1290" spans="1:12" x14ac:dyDescent="0.25">
      <c r="A1290" s="1" t="s">
        <v>1322</v>
      </c>
      <c r="B1290" s="1" t="s">
        <v>14</v>
      </c>
      <c r="C1290">
        <v>10</v>
      </c>
      <c r="D1290" s="1" t="s">
        <v>422</v>
      </c>
      <c r="E1290">
        <v>20147.62</v>
      </c>
      <c r="F1290">
        <v>17760.04</v>
      </c>
      <c r="G1290">
        <v>14</v>
      </c>
      <c r="H1290">
        <v>56</v>
      </c>
      <c r="I1290">
        <v>26276.37</v>
      </c>
      <c r="J1290">
        <v>1855.48</v>
      </c>
      <c r="K1290">
        <v>0</v>
      </c>
      <c r="L1290">
        <v>2025</v>
      </c>
    </row>
    <row r="1291" spans="1:12" x14ac:dyDescent="0.25">
      <c r="A1291" s="1" t="s">
        <v>1323</v>
      </c>
      <c r="B1291" s="1" t="s">
        <v>15</v>
      </c>
      <c r="C1291">
        <v>72</v>
      </c>
      <c r="D1291" s="1" t="s">
        <v>422</v>
      </c>
      <c r="E1291">
        <v>62250.75</v>
      </c>
      <c r="F1291">
        <v>51838.97</v>
      </c>
      <c r="G1291">
        <v>77</v>
      </c>
      <c r="H1291">
        <v>12</v>
      </c>
      <c r="I1291">
        <v>26478.33</v>
      </c>
      <c r="J1291">
        <v>0</v>
      </c>
      <c r="K1291">
        <v>0</v>
      </c>
      <c r="L1291">
        <v>2025</v>
      </c>
    </row>
    <row r="1292" spans="1:12" x14ac:dyDescent="0.25">
      <c r="A1292" s="1" t="s">
        <v>1324</v>
      </c>
      <c r="B1292" s="1" t="s">
        <v>16</v>
      </c>
      <c r="C1292">
        <v>106</v>
      </c>
      <c r="D1292" s="1" t="s">
        <v>422</v>
      </c>
      <c r="E1292">
        <v>97045.93</v>
      </c>
      <c r="F1292">
        <v>85800.320000000007</v>
      </c>
      <c r="G1292">
        <v>48</v>
      </c>
      <c r="H1292">
        <v>73</v>
      </c>
      <c r="I1292">
        <v>8291.09</v>
      </c>
      <c r="J1292">
        <v>4072.85</v>
      </c>
      <c r="K1292">
        <v>1</v>
      </c>
      <c r="L1292">
        <v>2025</v>
      </c>
    </row>
    <row r="1293" spans="1:12" x14ac:dyDescent="0.25">
      <c r="A1293" s="1" t="s">
        <v>1325</v>
      </c>
      <c r="B1293" s="1" t="s">
        <v>17</v>
      </c>
      <c r="C1293">
        <v>79</v>
      </c>
      <c r="D1293" s="1" t="s">
        <v>422</v>
      </c>
      <c r="E1293">
        <v>74069.570000000007</v>
      </c>
      <c r="F1293">
        <v>53464.51</v>
      </c>
      <c r="G1293">
        <v>80</v>
      </c>
      <c r="H1293">
        <v>24</v>
      </c>
      <c r="I1293">
        <v>63964.89</v>
      </c>
      <c r="J1293">
        <v>1672.62</v>
      </c>
      <c r="K1293">
        <v>0</v>
      </c>
      <c r="L1293">
        <v>2025</v>
      </c>
    </row>
    <row r="1294" spans="1:12" x14ac:dyDescent="0.25">
      <c r="A1294" s="1" t="s">
        <v>1326</v>
      </c>
      <c r="B1294" s="1" t="s">
        <v>14</v>
      </c>
      <c r="C1294">
        <v>56</v>
      </c>
      <c r="D1294" s="1" t="s">
        <v>422</v>
      </c>
      <c r="E1294">
        <v>47270.86</v>
      </c>
      <c r="F1294">
        <v>29001.53</v>
      </c>
      <c r="G1294">
        <v>42</v>
      </c>
      <c r="H1294">
        <v>23</v>
      </c>
      <c r="I1294">
        <v>8258.34</v>
      </c>
      <c r="J1294">
        <v>7978.01</v>
      </c>
      <c r="K1294">
        <v>0</v>
      </c>
      <c r="L1294">
        <v>2025</v>
      </c>
    </row>
    <row r="1295" spans="1:12" x14ac:dyDescent="0.25">
      <c r="A1295" s="1" t="s">
        <v>1327</v>
      </c>
      <c r="B1295" s="1" t="s">
        <v>16</v>
      </c>
      <c r="C1295">
        <v>106</v>
      </c>
      <c r="D1295" s="1" t="s">
        <v>422</v>
      </c>
      <c r="E1295">
        <v>72977.2</v>
      </c>
      <c r="F1295">
        <v>45779.85</v>
      </c>
      <c r="G1295">
        <v>29</v>
      </c>
      <c r="H1295">
        <v>31</v>
      </c>
      <c r="I1295">
        <v>68816.56</v>
      </c>
      <c r="J1295">
        <v>939.75</v>
      </c>
      <c r="K1295">
        <v>0</v>
      </c>
      <c r="L1295">
        <v>2025</v>
      </c>
    </row>
    <row r="1296" spans="1:12" x14ac:dyDescent="0.25">
      <c r="A1296" s="1" t="s">
        <v>1328</v>
      </c>
      <c r="B1296" s="1" t="s">
        <v>17</v>
      </c>
      <c r="C1296">
        <v>19</v>
      </c>
      <c r="D1296" s="1" t="s">
        <v>422</v>
      </c>
      <c r="E1296">
        <v>27038.38</v>
      </c>
      <c r="F1296">
        <v>16977.43</v>
      </c>
      <c r="G1296">
        <v>55</v>
      </c>
      <c r="H1296">
        <v>26</v>
      </c>
      <c r="I1296">
        <v>9714.01</v>
      </c>
      <c r="J1296">
        <v>5095.03</v>
      </c>
      <c r="K1296">
        <v>0</v>
      </c>
      <c r="L1296">
        <v>2025</v>
      </c>
    </row>
    <row r="1297" spans="1:12" x14ac:dyDescent="0.25">
      <c r="A1297" s="1" t="s">
        <v>1329</v>
      </c>
      <c r="B1297" s="1" t="s">
        <v>16</v>
      </c>
      <c r="C1297">
        <v>119</v>
      </c>
      <c r="D1297" s="1" t="s">
        <v>422</v>
      </c>
      <c r="E1297">
        <v>106722.16</v>
      </c>
      <c r="F1297">
        <v>94770.06</v>
      </c>
      <c r="G1297">
        <v>18</v>
      </c>
      <c r="H1297">
        <v>22</v>
      </c>
      <c r="I1297">
        <v>53012.89</v>
      </c>
      <c r="J1297">
        <v>1246.77</v>
      </c>
      <c r="K1297">
        <v>0</v>
      </c>
      <c r="L1297">
        <v>2025</v>
      </c>
    </row>
    <row r="1298" spans="1:12" x14ac:dyDescent="0.25">
      <c r="A1298" s="1" t="s">
        <v>1330</v>
      </c>
      <c r="B1298" s="1" t="s">
        <v>16</v>
      </c>
      <c r="C1298">
        <v>118</v>
      </c>
      <c r="D1298" s="1" t="s">
        <v>422</v>
      </c>
      <c r="E1298">
        <v>97194.37</v>
      </c>
      <c r="F1298">
        <v>101180.12</v>
      </c>
      <c r="G1298">
        <v>25</v>
      </c>
      <c r="H1298">
        <v>32</v>
      </c>
      <c r="I1298">
        <v>49459.79</v>
      </c>
      <c r="J1298">
        <v>11852.54</v>
      </c>
      <c r="K1298">
        <v>1</v>
      </c>
      <c r="L1298">
        <v>2025</v>
      </c>
    </row>
    <row r="1299" spans="1:12" x14ac:dyDescent="0.25">
      <c r="A1299" s="1" t="s">
        <v>1331</v>
      </c>
      <c r="B1299" s="1" t="s">
        <v>16</v>
      </c>
      <c r="C1299">
        <v>16</v>
      </c>
      <c r="D1299" s="1" t="s">
        <v>422</v>
      </c>
      <c r="E1299">
        <v>25915.32</v>
      </c>
      <c r="F1299">
        <v>22177.77</v>
      </c>
      <c r="G1299">
        <v>36</v>
      </c>
      <c r="H1299">
        <v>22</v>
      </c>
      <c r="I1299">
        <v>0</v>
      </c>
      <c r="J1299">
        <v>0</v>
      </c>
      <c r="K1299">
        <v>0</v>
      </c>
      <c r="L1299">
        <v>2025</v>
      </c>
    </row>
    <row r="1300" spans="1:12" x14ac:dyDescent="0.25">
      <c r="A1300" s="1" t="s">
        <v>1332</v>
      </c>
      <c r="B1300" s="1" t="s">
        <v>18</v>
      </c>
      <c r="C1300">
        <v>68</v>
      </c>
      <c r="D1300" s="1" t="s">
        <v>422</v>
      </c>
      <c r="E1300">
        <v>53259.05</v>
      </c>
      <c r="F1300">
        <v>50109.7</v>
      </c>
      <c r="G1300">
        <v>35</v>
      </c>
      <c r="H1300">
        <v>52</v>
      </c>
      <c r="I1300">
        <v>18709.919999999998</v>
      </c>
      <c r="J1300">
        <v>4519.1099999999997</v>
      </c>
      <c r="K1300">
        <v>0</v>
      </c>
      <c r="L1300">
        <v>2025</v>
      </c>
    </row>
    <row r="1301" spans="1:12" x14ac:dyDescent="0.25">
      <c r="A1301" s="1" t="s">
        <v>1333</v>
      </c>
      <c r="B1301" s="1" t="s">
        <v>16</v>
      </c>
      <c r="C1301">
        <v>117</v>
      </c>
      <c r="D1301" s="1" t="s">
        <v>422</v>
      </c>
      <c r="E1301">
        <v>86251.88</v>
      </c>
      <c r="F1301">
        <v>61589.45</v>
      </c>
      <c r="G1301">
        <v>54</v>
      </c>
      <c r="H1301">
        <v>17</v>
      </c>
      <c r="I1301">
        <v>23839.34</v>
      </c>
      <c r="J1301">
        <v>5424.07</v>
      </c>
      <c r="K1301">
        <v>0</v>
      </c>
      <c r="L1301">
        <v>2025</v>
      </c>
    </row>
    <row r="1302" spans="1:12" x14ac:dyDescent="0.25">
      <c r="A1302" s="1" t="s">
        <v>1334</v>
      </c>
      <c r="B1302" s="1" t="s">
        <v>12</v>
      </c>
      <c r="C1302">
        <v>18</v>
      </c>
      <c r="D1302" s="1" t="s">
        <v>422</v>
      </c>
      <c r="E1302">
        <v>18342.830000000002</v>
      </c>
      <c r="F1302">
        <v>15148.1</v>
      </c>
      <c r="G1302">
        <v>21</v>
      </c>
      <c r="H1302">
        <v>51</v>
      </c>
      <c r="I1302">
        <v>11139.13</v>
      </c>
      <c r="J1302">
        <v>0</v>
      </c>
      <c r="K1302">
        <v>0</v>
      </c>
      <c r="L1302">
        <v>2025</v>
      </c>
    </row>
    <row r="1303" spans="1:12" x14ac:dyDescent="0.25">
      <c r="A1303" s="1" t="s">
        <v>1335</v>
      </c>
      <c r="B1303" s="1" t="s">
        <v>15</v>
      </c>
      <c r="C1303">
        <v>31</v>
      </c>
      <c r="D1303" s="1" t="s">
        <v>422</v>
      </c>
      <c r="E1303">
        <v>21186.79</v>
      </c>
      <c r="F1303">
        <v>17601.349999999999</v>
      </c>
      <c r="G1303">
        <v>10</v>
      </c>
      <c r="H1303">
        <v>28</v>
      </c>
      <c r="I1303">
        <v>49982.96</v>
      </c>
      <c r="J1303">
        <v>2399.6999999999998</v>
      </c>
      <c r="K1303">
        <v>0</v>
      </c>
      <c r="L1303">
        <v>2025</v>
      </c>
    </row>
    <row r="1304" spans="1:12" x14ac:dyDescent="0.25">
      <c r="A1304" s="1" t="s">
        <v>1336</v>
      </c>
      <c r="B1304" s="1" t="s">
        <v>18</v>
      </c>
      <c r="C1304">
        <v>68</v>
      </c>
      <c r="D1304" s="1" t="s">
        <v>422</v>
      </c>
      <c r="E1304">
        <v>68570.42</v>
      </c>
      <c r="F1304">
        <v>68540.740000000005</v>
      </c>
      <c r="G1304">
        <v>24</v>
      </c>
      <c r="H1304">
        <v>36</v>
      </c>
      <c r="I1304">
        <v>12794.95</v>
      </c>
      <c r="J1304">
        <v>0</v>
      </c>
      <c r="K1304">
        <v>0</v>
      </c>
      <c r="L1304">
        <v>2025</v>
      </c>
    </row>
    <row r="1305" spans="1:12" x14ac:dyDescent="0.25">
      <c r="A1305" s="1" t="s">
        <v>1337</v>
      </c>
      <c r="B1305" s="1" t="s">
        <v>15</v>
      </c>
      <c r="C1305">
        <v>53</v>
      </c>
      <c r="D1305" s="1" t="s">
        <v>422</v>
      </c>
      <c r="E1305">
        <v>36608.51</v>
      </c>
      <c r="F1305">
        <v>25210.9</v>
      </c>
      <c r="G1305">
        <v>29</v>
      </c>
      <c r="H1305">
        <v>19</v>
      </c>
      <c r="I1305">
        <v>33230.75</v>
      </c>
      <c r="J1305">
        <v>0</v>
      </c>
      <c r="K1305">
        <v>0</v>
      </c>
      <c r="L1305">
        <v>2025</v>
      </c>
    </row>
    <row r="1306" spans="1:12" x14ac:dyDescent="0.25">
      <c r="A1306" s="1" t="s">
        <v>1338</v>
      </c>
      <c r="B1306" s="1" t="s">
        <v>17</v>
      </c>
      <c r="C1306">
        <v>58</v>
      </c>
      <c r="D1306" s="1" t="s">
        <v>422</v>
      </c>
      <c r="E1306">
        <v>50730.18</v>
      </c>
      <c r="F1306">
        <v>42330</v>
      </c>
      <c r="G1306">
        <v>60</v>
      </c>
      <c r="H1306">
        <v>24</v>
      </c>
      <c r="I1306">
        <v>15780.08</v>
      </c>
      <c r="J1306">
        <v>6691.88</v>
      </c>
      <c r="K1306">
        <v>0</v>
      </c>
      <c r="L1306">
        <v>2025</v>
      </c>
    </row>
    <row r="1307" spans="1:12" x14ac:dyDescent="0.25">
      <c r="A1307" s="1" t="s">
        <v>1339</v>
      </c>
      <c r="B1307" s="1" t="s">
        <v>12</v>
      </c>
      <c r="C1307">
        <v>65</v>
      </c>
      <c r="D1307" s="1" t="s">
        <v>422</v>
      </c>
      <c r="E1307">
        <v>40964.370000000003</v>
      </c>
      <c r="F1307">
        <v>43178.92</v>
      </c>
      <c r="G1307">
        <v>42</v>
      </c>
      <c r="H1307">
        <v>39</v>
      </c>
      <c r="I1307">
        <v>58210.9</v>
      </c>
      <c r="J1307">
        <v>0</v>
      </c>
      <c r="K1307">
        <v>0</v>
      </c>
      <c r="L1307">
        <v>2025</v>
      </c>
    </row>
    <row r="1308" spans="1:12" x14ac:dyDescent="0.25">
      <c r="A1308" s="1" t="s">
        <v>1340</v>
      </c>
      <c r="B1308" s="1" t="s">
        <v>14</v>
      </c>
      <c r="C1308">
        <v>100</v>
      </c>
      <c r="D1308" s="1" t="s">
        <v>422</v>
      </c>
      <c r="E1308">
        <v>67835.17</v>
      </c>
      <c r="F1308">
        <v>51190.720000000001</v>
      </c>
      <c r="G1308">
        <v>42</v>
      </c>
      <c r="H1308">
        <v>12</v>
      </c>
      <c r="I1308">
        <v>65707.740000000005</v>
      </c>
      <c r="J1308">
        <v>770.4</v>
      </c>
      <c r="K1308">
        <v>0</v>
      </c>
      <c r="L1308">
        <v>2025</v>
      </c>
    </row>
    <row r="1309" spans="1:12" x14ac:dyDescent="0.25">
      <c r="A1309" s="1" t="s">
        <v>1341</v>
      </c>
      <c r="B1309" s="1" t="s">
        <v>18</v>
      </c>
      <c r="C1309">
        <v>68</v>
      </c>
      <c r="D1309" s="1" t="s">
        <v>422</v>
      </c>
      <c r="E1309">
        <v>71624.63</v>
      </c>
      <c r="F1309">
        <v>76304.990000000005</v>
      </c>
      <c r="G1309">
        <v>18</v>
      </c>
      <c r="H1309">
        <v>12</v>
      </c>
      <c r="I1309">
        <v>40375.61</v>
      </c>
      <c r="J1309">
        <v>0</v>
      </c>
      <c r="K1309">
        <v>1</v>
      </c>
      <c r="L1309">
        <v>2025</v>
      </c>
    </row>
    <row r="1310" spans="1:12" x14ac:dyDescent="0.25">
      <c r="A1310" s="1" t="s">
        <v>1342</v>
      </c>
      <c r="B1310" s="1" t="s">
        <v>17</v>
      </c>
      <c r="C1310">
        <v>42</v>
      </c>
      <c r="D1310" s="1" t="s">
        <v>422</v>
      </c>
      <c r="E1310">
        <v>45601.33</v>
      </c>
      <c r="F1310">
        <v>48515.99</v>
      </c>
      <c r="G1310">
        <v>47</v>
      </c>
      <c r="H1310">
        <v>26</v>
      </c>
      <c r="I1310">
        <v>71148.92</v>
      </c>
      <c r="J1310">
        <v>9235.7000000000007</v>
      </c>
      <c r="K1310">
        <v>0</v>
      </c>
      <c r="L1310">
        <v>2025</v>
      </c>
    </row>
    <row r="1311" spans="1:12" x14ac:dyDescent="0.25">
      <c r="A1311" s="1" t="s">
        <v>1343</v>
      </c>
      <c r="B1311" s="1" t="s">
        <v>18</v>
      </c>
      <c r="C1311">
        <v>98</v>
      </c>
      <c r="D1311" s="1" t="s">
        <v>422</v>
      </c>
      <c r="E1311">
        <v>74449.679999999993</v>
      </c>
      <c r="F1311">
        <v>74023.83</v>
      </c>
      <c r="G1311">
        <v>43</v>
      </c>
      <c r="H1311">
        <v>45</v>
      </c>
      <c r="I1311">
        <v>15843.14</v>
      </c>
      <c r="J1311">
        <v>9702.7999999999993</v>
      </c>
      <c r="K1311">
        <v>0</v>
      </c>
      <c r="L1311">
        <v>2025</v>
      </c>
    </row>
    <row r="1312" spans="1:12" x14ac:dyDescent="0.25">
      <c r="A1312" s="1" t="s">
        <v>1344</v>
      </c>
      <c r="B1312" s="1" t="s">
        <v>12</v>
      </c>
      <c r="C1312">
        <v>107</v>
      </c>
      <c r="D1312" s="1" t="s">
        <v>422</v>
      </c>
      <c r="E1312">
        <v>83639.009999999995</v>
      </c>
      <c r="F1312">
        <v>86181.03</v>
      </c>
      <c r="G1312">
        <v>38</v>
      </c>
      <c r="H1312">
        <v>25</v>
      </c>
      <c r="I1312">
        <v>57613.14</v>
      </c>
      <c r="J1312">
        <v>11937.02</v>
      </c>
      <c r="K1312">
        <v>1</v>
      </c>
      <c r="L1312">
        <v>2025</v>
      </c>
    </row>
    <row r="1313" spans="1:12" x14ac:dyDescent="0.25">
      <c r="A1313" s="1" t="s">
        <v>1345</v>
      </c>
      <c r="B1313" s="1" t="s">
        <v>18</v>
      </c>
      <c r="C1313">
        <v>5</v>
      </c>
      <c r="D1313" s="1" t="s">
        <v>422</v>
      </c>
      <c r="E1313">
        <v>4520.34</v>
      </c>
      <c r="F1313">
        <v>3516.91</v>
      </c>
      <c r="G1313">
        <v>21</v>
      </c>
      <c r="H1313">
        <v>38</v>
      </c>
      <c r="I1313">
        <v>5072.7</v>
      </c>
      <c r="J1313">
        <v>3975.17</v>
      </c>
      <c r="K1313">
        <v>0</v>
      </c>
      <c r="L1313">
        <v>2025</v>
      </c>
    </row>
    <row r="1314" spans="1:12" x14ac:dyDescent="0.25">
      <c r="A1314" s="1" t="s">
        <v>1346</v>
      </c>
      <c r="B1314" s="1" t="s">
        <v>16</v>
      </c>
      <c r="C1314">
        <v>70</v>
      </c>
      <c r="D1314" s="1" t="s">
        <v>422</v>
      </c>
      <c r="E1314">
        <v>63985.16</v>
      </c>
      <c r="F1314">
        <v>44006.559999999998</v>
      </c>
      <c r="G1314">
        <v>33</v>
      </c>
      <c r="H1314">
        <v>16</v>
      </c>
      <c r="I1314">
        <v>4596.3500000000004</v>
      </c>
      <c r="J1314">
        <v>4134.38</v>
      </c>
      <c r="K1314">
        <v>1</v>
      </c>
      <c r="L1314">
        <v>2025</v>
      </c>
    </row>
    <row r="1315" spans="1:12" x14ac:dyDescent="0.25">
      <c r="A1315" s="1" t="s">
        <v>1347</v>
      </c>
      <c r="B1315" s="1" t="s">
        <v>12</v>
      </c>
      <c r="C1315">
        <v>107</v>
      </c>
      <c r="D1315" s="1" t="s">
        <v>422</v>
      </c>
      <c r="E1315">
        <v>98048.04</v>
      </c>
      <c r="F1315">
        <v>96462.25</v>
      </c>
      <c r="G1315">
        <v>49</v>
      </c>
      <c r="H1315">
        <v>18</v>
      </c>
      <c r="I1315">
        <v>34381</v>
      </c>
      <c r="J1315">
        <v>3872.12</v>
      </c>
      <c r="K1315">
        <v>0</v>
      </c>
      <c r="L1315">
        <v>2025</v>
      </c>
    </row>
    <row r="1316" spans="1:12" x14ac:dyDescent="0.25">
      <c r="A1316" s="1" t="s">
        <v>1348</v>
      </c>
      <c r="B1316" s="1" t="s">
        <v>15</v>
      </c>
      <c r="C1316">
        <v>85</v>
      </c>
      <c r="D1316" s="1" t="s">
        <v>422</v>
      </c>
      <c r="E1316">
        <v>62812.18</v>
      </c>
      <c r="F1316">
        <v>55782.080000000002</v>
      </c>
      <c r="G1316">
        <v>22</v>
      </c>
      <c r="H1316">
        <v>32</v>
      </c>
      <c r="I1316">
        <v>48848.28</v>
      </c>
      <c r="J1316">
        <v>0</v>
      </c>
      <c r="K1316">
        <v>0</v>
      </c>
      <c r="L1316">
        <v>2025</v>
      </c>
    </row>
    <row r="1317" spans="1:12" x14ac:dyDescent="0.25">
      <c r="A1317" s="1" t="s">
        <v>1349</v>
      </c>
      <c r="B1317" s="1" t="s">
        <v>15</v>
      </c>
      <c r="C1317">
        <v>46</v>
      </c>
      <c r="D1317" s="1" t="s">
        <v>422</v>
      </c>
      <c r="E1317">
        <v>51368.17</v>
      </c>
      <c r="F1317">
        <v>54669.97</v>
      </c>
      <c r="G1317">
        <v>58</v>
      </c>
      <c r="H1317">
        <v>20</v>
      </c>
      <c r="I1317">
        <v>39174.160000000003</v>
      </c>
      <c r="J1317">
        <v>1244.1099999999999</v>
      </c>
      <c r="K1317">
        <v>0</v>
      </c>
      <c r="L1317">
        <v>2025</v>
      </c>
    </row>
    <row r="1318" spans="1:12" x14ac:dyDescent="0.25">
      <c r="A1318" s="1" t="s">
        <v>1350</v>
      </c>
      <c r="B1318" s="1" t="s">
        <v>16</v>
      </c>
      <c r="C1318">
        <v>71</v>
      </c>
      <c r="D1318" s="1" t="s">
        <v>422</v>
      </c>
      <c r="E1318">
        <v>58161.52</v>
      </c>
      <c r="F1318">
        <v>59396.87</v>
      </c>
      <c r="G1318">
        <v>45</v>
      </c>
      <c r="H1318">
        <v>12</v>
      </c>
      <c r="I1318">
        <v>44447.97</v>
      </c>
      <c r="J1318">
        <v>8627.64</v>
      </c>
      <c r="K1318">
        <v>0</v>
      </c>
      <c r="L1318">
        <v>2025</v>
      </c>
    </row>
    <row r="1319" spans="1:12" x14ac:dyDescent="0.25">
      <c r="A1319" s="1" t="s">
        <v>1351</v>
      </c>
      <c r="B1319" s="1" t="s">
        <v>14</v>
      </c>
      <c r="C1319">
        <v>15</v>
      </c>
      <c r="D1319" s="1" t="s">
        <v>422</v>
      </c>
      <c r="E1319">
        <v>16198.3</v>
      </c>
      <c r="F1319">
        <v>16592.990000000002</v>
      </c>
      <c r="G1319">
        <v>44</v>
      </c>
      <c r="H1319">
        <v>16</v>
      </c>
      <c r="I1319">
        <v>34115.96</v>
      </c>
      <c r="J1319">
        <v>2251.66</v>
      </c>
      <c r="K1319">
        <v>0</v>
      </c>
      <c r="L1319">
        <v>2025</v>
      </c>
    </row>
    <row r="1320" spans="1:12" x14ac:dyDescent="0.25">
      <c r="A1320" s="1" t="s">
        <v>1352</v>
      </c>
      <c r="B1320" s="1" t="s">
        <v>18</v>
      </c>
      <c r="C1320">
        <v>51</v>
      </c>
      <c r="D1320" s="1" t="s">
        <v>422</v>
      </c>
      <c r="E1320">
        <v>33605.15</v>
      </c>
      <c r="F1320">
        <v>30390.1</v>
      </c>
      <c r="G1320">
        <v>48</v>
      </c>
      <c r="H1320">
        <v>6</v>
      </c>
      <c r="I1320">
        <v>6845.87</v>
      </c>
      <c r="J1320">
        <v>0</v>
      </c>
      <c r="K1320">
        <v>0</v>
      </c>
      <c r="L1320">
        <v>2025</v>
      </c>
    </row>
    <row r="1321" spans="1:12" x14ac:dyDescent="0.25">
      <c r="A1321" s="1" t="s">
        <v>1353</v>
      </c>
      <c r="B1321" s="1" t="s">
        <v>12</v>
      </c>
      <c r="C1321">
        <v>19</v>
      </c>
      <c r="D1321" s="1" t="s">
        <v>422</v>
      </c>
      <c r="E1321">
        <v>17735.62</v>
      </c>
      <c r="F1321">
        <v>18898.46</v>
      </c>
      <c r="G1321">
        <v>42</v>
      </c>
      <c r="H1321">
        <v>9</v>
      </c>
      <c r="I1321">
        <v>46014.89</v>
      </c>
      <c r="J1321">
        <v>12114.44</v>
      </c>
      <c r="K1321">
        <v>0</v>
      </c>
      <c r="L1321">
        <v>2025</v>
      </c>
    </row>
    <row r="1322" spans="1:12" x14ac:dyDescent="0.25">
      <c r="A1322" s="1" t="s">
        <v>1354</v>
      </c>
      <c r="B1322" s="1" t="s">
        <v>16</v>
      </c>
      <c r="C1322">
        <v>79</v>
      </c>
      <c r="D1322" s="1" t="s">
        <v>422</v>
      </c>
      <c r="E1322">
        <v>81353.5</v>
      </c>
      <c r="F1322">
        <v>71360.73</v>
      </c>
      <c r="G1322">
        <v>14</v>
      </c>
      <c r="H1322">
        <v>25</v>
      </c>
      <c r="I1322">
        <v>10170.969999999999</v>
      </c>
      <c r="J1322">
        <v>3562.68</v>
      </c>
      <c r="K1322">
        <v>0</v>
      </c>
      <c r="L1322">
        <v>2025</v>
      </c>
    </row>
    <row r="1323" spans="1:12" x14ac:dyDescent="0.25">
      <c r="A1323" s="1" t="s">
        <v>1355</v>
      </c>
      <c r="B1323" s="1" t="s">
        <v>16</v>
      </c>
      <c r="C1323">
        <v>47</v>
      </c>
      <c r="D1323" s="1" t="s">
        <v>422</v>
      </c>
      <c r="E1323">
        <v>45713.23</v>
      </c>
      <c r="F1323">
        <v>44253.73</v>
      </c>
      <c r="G1323">
        <v>32</v>
      </c>
      <c r="H1323">
        <v>9</v>
      </c>
      <c r="I1323">
        <v>45955.82</v>
      </c>
      <c r="J1323">
        <v>0</v>
      </c>
      <c r="K1323">
        <v>0</v>
      </c>
      <c r="L1323">
        <v>2025</v>
      </c>
    </row>
    <row r="1324" spans="1:12" x14ac:dyDescent="0.25">
      <c r="A1324" s="1" t="s">
        <v>1356</v>
      </c>
      <c r="B1324" s="1" t="s">
        <v>15</v>
      </c>
      <c r="C1324">
        <v>21</v>
      </c>
      <c r="D1324" s="1" t="s">
        <v>422</v>
      </c>
      <c r="E1324">
        <v>21855.9</v>
      </c>
      <c r="F1324">
        <v>21382.62</v>
      </c>
      <c r="G1324">
        <v>14</v>
      </c>
      <c r="H1324">
        <v>25</v>
      </c>
      <c r="I1324">
        <v>28438.33</v>
      </c>
      <c r="J1324">
        <v>7709.14</v>
      </c>
      <c r="K1324">
        <v>0</v>
      </c>
      <c r="L1324">
        <v>2025</v>
      </c>
    </row>
    <row r="1325" spans="1:12" x14ac:dyDescent="0.25">
      <c r="A1325" s="1" t="s">
        <v>1357</v>
      </c>
      <c r="B1325" s="1" t="s">
        <v>18</v>
      </c>
      <c r="C1325">
        <v>27</v>
      </c>
      <c r="D1325" s="1" t="s">
        <v>422</v>
      </c>
      <c r="E1325">
        <v>16768.599999999999</v>
      </c>
      <c r="F1325">
        <v>15468.94</v>
      </c>
      <c r="G1325">
        <v>30</v>
      </c>
      <c r="H1325">
        <v>14</v>
      </c>
      <c r="I1325">
        <v>26737.59</v>
      </c>
      <c r="J1325">
        <v>10592.17</v>
      </c>
      <c r="K1325">
        <v>0</v>
      </c>
      <c r="L1325">
        <v>2025</v>
      </c>
    </row>
    <row r="1326" spans="1:12" x14ac:dyDescent="0.25">
      <c r="A1326" s="1" t="s">
        <v>1358</v>
      </c>
      <c r="B1326" s="1" t="s">
        <v>14</v>
      </c>
      <c r="C1326">
        <v>19</v>
      </c>
      <c r="D1326" s="1" t="s">
        <v>422</v>
      </c>
      <c r="E1326">
        <v>36874.949999999997</v>
      </c>
      <c r="F1326">
        <v>25661.07</v>
      </c>
      <c r="G1326">
        <v>36</v>
      </c>
      <c r="H1326">
        <v>32</v>
      </c>
      <c r="I1326">
        <v>15105.67</v>
      </c>
      <c r="J1326">
        <v>1883.14</v>
      </c>
      <c r="K1326">
        <v>0</v>
      </c>
      <c r="L1326">
        <v>2025</v>
      </c>
    </row>
    <row r="1327" spans="1:12" x14ac:dyDescent="0.25">
      <c r="A1327" s="1" t="s">
        <v>1359</v>
      </c>
      <c r="B1327" s="1" t="s">
        <v>15</v>
      </c>
      <c r="C1327">
        <v>70</v>
      </c>
      <c r="D1327" s="1" t="s">
        <v>422</v>
      </c>
      <c r="E1327">
        <v>55653.78</v>
      </c>
      <c r="F1327">
        <v>56729.06</v>
      </c>
      <c r="G1327">
        <v>57</v>
      </c>
      <c r="H1327">
        <v>41</v>
      </c>
      <c r="I1327">
        <v>0</v>
      </c>
      <c r="J1327">
        <v>0</v>
      </c>
      <c r="K1327">
        <v>0</v>
      </c>
      <c r="L1327">
        <v>2025</v>
      </c>
    </row>
    <row r="1328" spans="1:12" x14ac:dyDescent="0.25">
      <c r="A1328" s="1" t="s">
        <v>1360</v>
      </c>
      <c r="B1328" s="1" t="s">
        <v>14</v>
      </c>
      <c r="C1328">
        <v>76</v>
      </c>
      <c r="D1328" s="1" t="s">
        <v>422</v>
      </c>
      <c r="E1328">
        <v>69518.490000000005</v>
      </c>
      <c r="F1328">
        <v>64636.39</v>
      </c>
      <c r="G1328">
        <v>39</v>
      </c>
      <c r="H1328">
        <v>36</v>
      </c>
      <c r="I1328">
        <v>12739.51</v>
      </c>
      <c r="J1328">
        <v>0</v>
      </c>
      <c r="K1328">
        <v>0</v>
      </c>
      <c r="L1328">
        <v>2025</v>
      </c>
    </row>
    <row r="1329" spans="1:12" x14ac:dyDescent="0.25">
      <c r="A1329" s="1" t="s">
        <v>1361</v>
      </c>
      <c r="B1329" s="1" t="s">
        <v>14</v>
      </c>
      <c r="C1329">
        <v>96</v>
      </c>
      <c r="D1329" s="1" t="s">
        <v>422</v>
      </c>
      <c r="E1329">
        <v>72893.210000000006</v>
      </c>
      <c r="F1329">
        <v>57127.39</v>
      </c>
      <c r="G1329">
        <v>48</v>
      </c>
      <c r="H1329">
        <v>12</v>
      </c>
      <c r="I1329">
        <v>55576.27</v>
      </c>
      <c r="J1329">
        <v>0</v>
      </c>
      <c r="K1329">
        <v>0</v>
      </c>
      <c r="L1329">
        <v>2025</v>
      </c>
    </row>
    <row r="1330" spans="1:12" x14ac:dyDescent="0.25">
      <c r="A1330" s="1" t="s">
        <v>1362</v>
      </c>
      <c r="B1330" s="1" t="s">
        <v>18</v>
      </c>
      <c r="C1330">
        <v>68</v>
      </c>
      <c r="D1330" s="1" t="s">
        <v>422</v>
      </c>
      <c r="E1330">
        <v>58749.13</v>
      </c>
      <c r="F1330">
        <v>45002.87</v>
      </c>
      <c r="G1330">
        <v>39</v>
      </c>
      <c r="H1330">
        <v>7</v>
      </c>
      <c r="I1330">
        <v>6228.33</v>
      </c>
      <c r="J1330">
        <v>0</v>
      </c>
      <c r="K1330">
        <v>1</v>
      </c>
      <c r="L1330">
        <v>2025</v>
      </c>
    </row>
    <row r="1331" spans="1:12" x14ac:dyDescent="0.25">
      <c r="A1331" s="1" t="s">
        <v>1363</v>
      </c>
      <c r="B1331" s="1" t="s">
        <v>15</v>
      </c>
      <c r="C1331">
        <v>28</v>
      </c>
      <c r="D1331" s="1" t="s">
        <v>422</v>
      </c>
      <c r="E1331">
        <v>25025.87</v>
      </c>
      <c r="F1331">
        <v>15392.08</v>
      </c>
      <c r="G1331">
        <v>42</v>
      </c>
      <c r="H1331">
        <v>0</v>
      </c>
      <c r="I1331">
        <v>66998.83</v>
      </c>
      <c r="J1331">
        <v>3396.96</v>
      </c>
      <c r="K1331">
        <v>0</v>
      </c>
      <c r="L1331">
        <v>2025</v>
      </c>
    </row>
    <row r="1332" spans="1:12" x14ac:dyDescent="0.25">
      <c r="A1332" s="1" t="s">
        <v>1364</v>
      </c>
      <c r="B1332" s="1" t="s">
        <v>12</v>
      </c>
      <c r="C1332">
        <v>26</v>
      </c>
      <c r="D1332" s="1" t="s">
        <v>422</v>
      </c>
      <c r="E1332">
        <v>32493.279999999999</v>
      </c>
      <c r="F1332">
        <v>31713.42</v>
      </c>
      <c r="G1332">
        <v>58</v>
      </c>
      <c r="H1332">
        <v>48</v>
      </c>
      <c r="I1332">
        <v>0</v>
      </c>
      <c r="J1332">
        <v>5030.1899999999996</v>
      </c>
      <c r="K1332">
        <v>0</v>
      </c>
      <c r="L1332">
        <v>2025</v>
      </c>
    </row>
    <row r="1333" spans="1:12" x14ac:dyDescent="0.25">
      <c r="A1333" s="1" t="s">
        <v>1365</v>
      </c>
      <c r="B1333" s="1" t="s">
        <v>16</v>
      </c>
      <c r="C1333">
        <v>32</v>
      </c>
      <c r="D1333" s="1" t="s">
        <v>422</v>
      </c>
      <c r="E1333">
        <v>9526.5499999999993</v>
      </c>
      <c r="F1333">
        <v>9492.35</v>
      </c>
      <c r="G1333">
        <v>46</v>
      </c>
      <c r="H1333">
        <v>39</v>
      </c>
      <c r="I1333">
        <v>52435.16</v>
      </c>
      <c r="J1333">
        <v>6585.24</v>
      </c>
      <c r="K1333">
        <v>0</v>
      </c>
      <c r="L1333">
        <v>2025</v>
      </c>
    </row>
    <row r="1334" spans="1:12" x14ac:dyDescent="0.25">
      <c r="A1334" s="1" t="s">
        <v>1366</v>
      </c>
      <c r="B1334" s="1" t="s">
        <v>14</v>
      </c>
      <c r="C1334">
        <v>27</v>
      </c>
      <c r="D1334" s="1" t="s">
        <v>422</v>
      </c>
      <c r="E1334">
        <v>33879.99</v>
      </c>
      <c r="F1334">
        <v>20826.580000000002</v>
      </c>
      <c r="G1334">
        <v>28</v>
      </c>
      <c r="H1334">
        <v>58</v>
      </c>
      <c r="I1334">
        <v>46056.9</v>
      </c>
      <c r="J1334">
        <v>1825.77</v>
      </c>
      <c r="K1334">
        <v>0</v>
      </c>
      <c r="L1334">
        <v>2025</v>
      </c>
    </row>
    <row r="1335" spans="1:12" x14ac:dyDescent="0.25">
      <c r="A1335" s="1" t="s">
        <v>1367</v>
      </c>
      <c r="B1335" s="1" t="s">
        <v>16</v>
      </c>
      <c r="C1335">
        <v>95</v>
      </c>
      <c r="D1335" s="1" t="s">
        <v>422</v>
      </c>
      <c r="E1335">
        <v>81812.91</v>
      </c>
      <c r="F1335">
        <v>61541.64</v>
      </c>
      <c r="G1335">
        <v>69</v>
      </c>
      <c r="H1335">
        <v>36</v>
      </c>
      <c r="I1335">
        <v>68578.460000000006</v>
      </c>
      <c r="J1335">
        <v>77.150000000000006</v>
      </c>
      <c r="K1335">
        <v>0</v>
      </c>
      <c r="L1335">
        <v>2025</v>
      </c>
    </row>
    <row r="1336" spans="1:12" x14ac:dyDescent="0.25">
      <c r="A1336" s="1" t="s">
        <v>1368</v>
      </c>
      <c r="B1336" s="1" t="s">
        <v>17</v>
      </c>
      <c r="C1336">
        <v>113</v>
      </c>
      <c r="D1336" s="1" t="s">
        <v>422</v>
      </c>
      <c r="E1336">
        <v>81795.509999999995</v>
      </c>
      <c r="F1336">
        <v>50478.19</v>
      </c>
      <c r="G1336">
        <v>49</v>
      </c>
      <c r="H1336">
        <v>8</v>
      </c>
      <c r="I1336">
        <v>34401.040000000001</v>
      </c>
      <c r="J1336">
        <v>4684.49</v>
      </c>
      <c r="K1336">
        <v>0</v>
      </c>
      <c r="L1336">
        <v>2025</v>
      </c>
    </row>
    <row r="1337" spans="1:12" x14ac:dyDescent="0.25">
      <c r="A1337" s="1" t="s">
        <v>1369</v>
      </c>
      <c r="B1337" s="1" t="s">
        <v>14</v>
      </c>
      <c r="C1337">
        <v>52</v>
      </c>
      <c r="D1337" s="1" t="s">
        <v>422</v>
      </c>
      <c r="E1337">
        <v>58033.49</v>
      </c>
      <c r="F1337">
        <v>59998.51</v>
      </c>
      <c r="G1337">
        <v>13</v>
      </c>
      <c r="H1337">
        <v>20</v>
      </c>
      <c r="I1337">
        <v>3552.88</v>
      </c>
      <c r="J1337">
        <v>7724.64</v>
      </c>
      <c r="K1337">
        <v>0</v>
      </c>
      <c r="L1337">
        <v>2025</v>
      </c>
    </row>
    <row r="1338" spans="1:12" x14ac:dyDescent="0.25">
      <c r="A1338" s="1" t="s">
        <v>1370</v>
      </c>
      <c r="B1338" s="1" t="s">
        <v>15</v>
      </c>
      <c r="C1338">
        <v>93</v>
      </c>
      <c r="D1338" s="1" t="s">
        <v>422</v>
      </c>
      <c r="E1338">
        <v>78080.03</v>
      </c>
      <c r="F1338">
        <v>58585.5</v>
      </c>
      <c r="G1338">
        <v>54</v>
      </c>
      <c r="H1338">
        <v>38</v>
      </c>
      <c r="I1338">
        <v>32503.68</v>
      </c>
      <c r="J1338">
        <v>3768.29</v>
      </c>
      <c r="K1338">
        <v>0</v>
      </c>
      <c r="L1338">
        <v>2025</v>
      </c>
    </row>
    <row r="1339" spans="1:12" x14ac:dyDescent="0.25">
      <c r="A1339" s="1" t="s">
        <v>1371</v>
      </c>
      <c r="B1339" s="1" t="s">
        <v>17</v>
      </c>
      <c r="C1339">
        <v>95</v>
      </c>
      <c r="D1339" s="1" t="s">
        <v>422</v>
      </c>
      <c r="E1339">
        <v>87167.89</v>
      </c>
      <c r="F1339">
        <v>81167.47</v>
      </c>
      <c r="G1339">
        <v>21</v>
      </c>
      <c r="H1339">
        <v>10</v>
      </c>
      <c r="I1339">
        <v>39941.89</v>
      </c>
      <c r="J1339">
        <v>4634.3900000000003</v>
      </c>
      <c r="K1339">
        <v>0</v>
      </c>
      <c r="L1339">
        <v>2025</v>
      </c>
    </row>
    <row r="1340" spans="1:12" x14ac:dyDescent="0.25">
      <c r="A1340" s="1" t="s">
        <v>1372</v>
      </c>
      <c r="B1340" s="1" t="s">
        <v>17</v>
      </c>
      <c r="C1340">
        <v>12</v>
      </c>
      <c r="D1340" s="1" t="s">
        <v>422</v>
      </c>
      <c r="E1340">
        <v>26896.17</v>
      </c>
      <c r="F1340">
        <v>15872.45</v>
      </c>
      <c r="G1340">
        <v>17</v>
      </c>
      <c r="H1340">
        <v>35</v>
      </c>
      <c r="I1340">
        <v>14523.58</v>
      </c>
      <c r="J1340">
        <v>8172.55</v>
      </c>
      <c r="K1340">
        <v>1</v>
      </c>
      <c r="L1340">
        <v>2025</v>
      </c>
    </row>
    <row r="1341" spans="1:12" x14ac:dyDescent="0.25">
      <c r="A1341" s="1" t="s">
        <v>1373</v>
      </c>
      <c r="B1341" s="1" t="s">
        <v>17</v>
      </c>
      <c r="C1341">
        <v>44</v>
      </c>
      <c r="D1341" s="1" t="s">
        <v>422</v>
      </c>
      <c r="E1341">
        <v>37527.46</v>
      </c>
      <c r="F1341">
        <v>32313.53</v>
      </c>
      <c r="G1341">
        <v>59</v>
      </c>
      <c r="H1341">
        <v>44</v>
      </c>
      <c r="I1341">
        <v>50904.77</v>
      </c>
      <c r="J1341">
        <v>2418.81</v>
      </c>
      <c r="K1341">
        <v>0</v>
      </c>
      <c r="L1341">
        <v>2025</v>
      </c>
    </row>
    <row r="1342" spans="1:12" x14ac:dyDescent="0.25">
      <c r="A1342" s="1" t="s">
        <v>1374</v>
      </c>
      <c r="B1342" s="1" t="s">
        <v>18</v>
      </c>
      <c r="C1342">
        <v>96</v>
      </c>
      <c r="D1342" s="1" t="s">
        <v>422</v>
      </c>
      <c r="E1342">
        <v>86410.76</v>
      </c>
      <c r="F1342">
        <v>83533.899999999994</v>
      </c>
      <c r="G1342">
        <v>44</v>
      </c>
      <c r="H1342">
        <v>9</v>
      </c>
      <c r="I1342">
        <v>24980.94</v>
      </c>
      <c r="J1342">
        <v>0</v>
      </c>
      <c r="K1342">
        <v>0</v>
      </c>
      <c r="L1342">
        <v>2025</v>
      </c>
    </row>
    <row r="1343" spans="1:12" x14ac:dyDescent="0.25">
      <c r="A1343" s="1" t="s">
        <v>1375</v>
      </c>
      <c r="B1343" s="1" t="s">
        <v>16</v>
      </c>
      <c r="C1343">
        <v>7</v>
      </c>
      <c r="D1343" s="1" t="s">
        <v>422</v>
      </c>
      <c r="E1343">
        <v>13115.76</v>
      </c>
      <c r="F1343">
        <v>11336.01</v>
      </c>
      <c r="G1343">
        <v>31</v>
      </c>
      <c r="H1343">
        <v>26</v>
      </c>
      <c r="I1343">
        <v>12561.8</v>
      </c>
      <c r="J1343">
        <v>2804.1</v>
      </c>
      <c r="K1343">
        <v>1</v>
      </c>
      <c r="L1343">
        <v>2025</v>
      </c>
    </row>
    <row r="1344" spans="1:12" x14ac:dyDescent="0.25">
      <c r="A1344" s="1" t="s">
        <v>1376</v>
      </c>
      <c r="B1344" s="1" t="s">
        <v>18</v>
      </c>
      <c r="C1344">
        <v>82</v>
      </c>
      <c r="D1344" s="1" t="s">
        <v>422</v>
      </c>
      <c r="E1344">
        <v>62330.21</v>
      </c>
      <c r="F1344">
        <v>63886.5</v>
      </c>
      <c r="G1344">
        <v>23</v>
      </c>
      <c r="H1344">
        <v>31</v>
      </c>
      <c r="I1344">
        <v>0</v>
      </c>
      <c r="J1344">
        <v>995.97</v>
      </c>
      <c r="K1344">
        <v>0</v>
      </c>
      <c r="L1344">
        <v>2025</v>
      </c>
    </row>
    <row r="1345" spans="1:12" x14ac:dyDescent="0.25">
      <c r="A1345" s="1" t="s">
        <v>1377</v>
      </c>
      <c r="B1345" s="1" t="s">
        <v>15</v>
      </c>
      <c r="C1345">
        <v>119</v>
      </c>
      <c r="D1345" s="1" t="s">
        <v>422</v>
      </c>
      <c r="E1345">
        <v>101301.61</v>
      </c>
      <c r="F1345">
        <v>81509.47</v>
      </c>
      <c r="G1345">
        <v>11</v>
      </c>
      <c r="H1345">
        <v>24</v>
      </c>
      <c r="I1345">
        <v>39037.43</v>
      </c>
      <c r="J1345">
        <v>16367.39</v>
      </c>
      <c r="K1345">
        <v>0</v>
      </c>
      <c r="L1345">
        <v>2025</v>
      </c>
    </row>
    <row r="1346" spans="1:12" x14ac:dyDescent="0.25">
      <c r="A1346" s="1" t="s">
        <v>1378</v>
      </c>
      <c r="B1346" s="1" t="s">
        <v>17</v>
      </c>
      <c r="C1346">
        <v>36</v>
      </c>
      <c r="D1346" s="1" t="s">
        <v>422</v>
      </c>
      <c r="E1346">
        <v>16868.07</v>
      </c>
      <c r="F1346">
        <v>14849.12</v>
      </c>
      <c r="G1346">
        <v>30</v>
      </c>
      <c r="H1346">
        <v>55</v>
      </c>
      <c r="I1346">
        <v>0</v>
      </c>
      <c r="J1346">
        <v>10277.950000000001</v>
      </c>
      <c r="K1346">
        <v>0</v>
      </c>
      <c r="L1346">
        <v>2025</v>
      </c>
    </row>
    <row r="1347" spans="1:12" x14ac:dyDescent="0.25">
      <c r="A1347" s="1" t="s">
        <v>1379</v>
      </c>
      <c r="B1347" s="1" t="s">
        <v>12</v>
      </c>
      <c r="C1347">
        <v>39</v>
      </c>
      <c r="D1347" s="1" t="s">
        <v>422</v>
      </c>
      <c r="E1347">
        <v>26630.95</v>
      </c>
      <c r="F1347">
        <v>15697.51</v>
      </c>
      <c r="G1347">
        <v>22</v>
      </c>
      <c r="H1347">
        <v>41</v>
      </c>
      <c r="I1347">
        <v>40570.76</v>
      </c>
      <c r="J1347">
        <v>2606.88</v>
      </c>
      <c r="K1347">
        <v>0</v>
      </c>
      <c r="L1347">
        <v>2025</v>
      </c>
    </row>
    <row r="1348" spans="1:12" x14ac:dyDescent="0.25">
      <c r="A1348" s="1" t="s">
        <v>1380</v>
      </c>
      <c r="B1348" s="1" t="s">
        <v>12</v>
      </c>
      <c r="C1348">
        <v>104</v>
      </c>
      <c r="D1348" s="1" t="s">
        <v>422</v>
      </c>
      <c r="E1348">
        <v>91948.3</v>
      </c>
      <c r="F1348">
        <v>92728.02</v>
      </c>
      <c r="G1348">
        <v>64</v>
      </c>
      <c r="H1348">
        <v>33</v>
      </c>
      <c r="I1348">
        <v>0</v>
      </c>
      <c r="J1348">
        <v>7033.65</v>
      </c>
      <c r="K1348">
        <v>1</v>
      </c>
      <c r="L1348">
        <v>2025</v>
      </c>
    </row>
    <row r="1349" spans="1:12" x14ac:dyDescent="0.25">
      <c r="A1349" s="1" t="s">
        <v>1381</v>
      </c>
      <c r="B1349" s="1" t="s">
        <v>15</v>
      </c>
      <c r="C1349">
        <v>10</v>
      </c>
      <c r="D1349" s="1" t="s">
        <v>422</v>
      </c>
      <c r="E1349">
        <v>22082.53</v>
      </c>
      <c r="F1349">
        <v>18611.349999999999</v>
      </c>
      <c r="G1349">
        <v>42</v>
      </c>
      <c r="H1349">
        <v>40</v>
      </c>
      <c r="I1349">
        <v>10717.76</v>
      </c>
      <c r="J1349">
        <v>3178.07</v>
      </c>
      <c r="K1349">
        <v>0</v>
      </c>
      <c r="L1349">
        <v>2025</v>
      </c>
    </row>
    <row r="1350" spans="1:12" x14ac:dyDescent="0.25">
      <c r="A1350" s="1" t="s">
        <v>1382</v>
      </c>
      <c r="B1350" s="1" t="s">
        <v>12</v>
      </c>
      <c r="C1350">
        <v>92</v>
      </c>
      <c r="D1350" s="1" t="s">
        <v>422</v>
      </c>
      <c r="E1350">
        <v>89804.11</v>
      </c>
      <c r="F1350">
        <v>96278.27</v>
      </c>
      <c r="G1350">
        <v>48</v>
      </c>
      <c r="H1350">
        <v>11</v>
      </c>
      <c r="I1350">
        <v>14945</v>
      </c>
      <c r="J1350">
        <v>7061.74</v>
      </c>
      <c r="K1350">
        <v>0</v>
      </c>
      <c r="L1350">
        <v>2025</v>
      </c>
    </row>
    <row r="1351" spans="1:12" x14ac:dyDescent="0.25">
      <c r="A1351" s="1" t="s">
        <v>1383</v>
      </c>
      <c r="B1351" s="1" t="s">
        <v>12</v>
      </c>
      <c r="C1351">
        <v>99</v>
      </c>
      <c r="D1351" s="1" t="s">
        <v>422</v>
      </c>
      <c r="E1351">
        <v>79892.28</v>
      </c>
      <c r="F1351">
        <v>71374.8</v>
      </c>
      <c r="G1351">
        <v>37</v>
      </c>
      <c r="H1351">
        <v>51</v>
      </c>
      <c r="I1351">
        <v>23121.7</v>
      </c>
      <c r="J1351">
        <v>0</v>
      </c>
      <c r="K1351">
        <v>1</v>
      </c>
      <c r="L1351">
        <v>2025</v>
      </c>
    </row>
    <row r="1352" spans="1:12" x14ac:dyDescent="0.25">
      <c r="A1352" s="1" t="s">
        <v>1384</v>
      </c>
      <c r="B1352" s="1" t="s">
        <v>12</v>
      </c>
      <c r="C1352">
        <v>111</v>
      </c>
      <c r="D1352" s="1" t="s">
        <v>422</v>
      </c>
      <c r="E1352">
        <v>86142.32</v>
      </c>
      <c r="F1352">
        <v>54895.44</v>
      </c>
      <c r="G1352">
        <v>35</v>
      </c>
      <c r="H1352">
        <v>27</v>
      </c>
      <c r="I1352">
        <v>0</v>
      </c>
      <c r="J1352">
        <v>6250.38</v>
      </c>
      <c r="K1352">
        <v>0</v>
      </c>
      <c r="L1352">
        <v>2025</v>
      </c>
    </row>
    <row r="1353" spans="1:12" x14ac:dyDescent="0.25">
      <c r="A1353" s="1" t="s">
        <v>1385</v>
      </c>
      <c r="B1353" s="1" t="s">
        <v>16</v>
      </c>
      <c r="C1353">
        <v>81</v>
      </c>
      <c r="D1353" s="1" t="s">
        <v>422</v>
      </c>
      <c r="E1353">
        <v>81533.36</v>
      </c>
      <c r="F1353">
        <v>66080.820000000007</v>
      </c>
      <c r="G1353">
        <v>47</v>
      </c>
      <c r="H1353">
        <v>26</v>
      </c>
      <c r="I1353">
        <v>33308.78</v>
      </c>
      <c r="J1353">
        <v>0</v>
      </c>
      <c r="K1353">
        <v>0</v>
      </c>
      <c r="L1353">
        <v>2025</v>
      </c>
    </row>
    <row r="1354" spans="1:12" x14ac:dyDescent="0.25">
      <c r="A1354" s="1" t="s">
        <v>1386</v>
      </c>
      <c r="B1354" s="1" t="s">
        <v>17</v>
      </c>
      <c r="C1354">
        <v>3</v>
      </c>
      <c r="D1354" s="1" t="s">
        <v>422</v>
      </c>
      <c r="E1354">
        <v>9347.2800000000007</v>
      </c>
      <c r="F1354">
        <v>6200.05</v>
      </c>
      <c r="G1354">
        <v>34</v>
      </c>
      <c r="H1354">
        <v>0</v>
      </c>
      <c r="I1354">
        <v>21323.9</v>
      </c>
      <c r="J1354">
        <v>2046.06</v>
      </c>
      <c r="K1354">
        <v>0</v>
      </c>
      <c r="L1354">
        <v>2025</v>
      </c>
    </row>
    <row r="1355" spans="1:12" x14ac:dyDescent="0.25">
      <c r="A1355" s="1" t="s">
        <v>1387</v>
      </c>
      <c r="B1355" s="1" t="s">
        <v>18</v>
      </c>
      <c r="C1355">
        <v>47</v>
      </c>
      <c r="D1355" s="1" t="s">
        <v>422</v>
      </c>
      <c r="E1355">
        <v>50820.72</v>
      </c>
      <c r="F1355">
        <v>43806.55</v>
      </c>
      <c r="G1355">
        <v>64</v>
      </c>
      <c r="H1355">
        <v>23</v>
      </c>
      <c r="I1355">
        <v>16193.29</v>
      </c>
      <c r="J1355">
        <v>373.22</v>
      </c>
      <c r="K1355">
        <v>0</v>
      </c>
      <c r="L1355">
        <v>2025</v>
      </c>
    </row>
    <row r="1356" spans="1:12" x14ac:dyDescent="0.25">
      <c r="A1356" s="1" t="s">
        <v>1388</v>
      </c>
      <c r="B1356" s="1" t="s">
        <v>16</v>
      </c>
      <c r="C1356">
        <v>95</v>
      </c>
      <c r="D1356" s="1" t="s">
        <v>422</v>
      </c>
      <c r="E1356">
        <v>68871.02</v>
      </c>
      <c r="F1356">
        <v>67645.850000000006</v>
      </c>
      <c r="G1356">
        <v>40</v>
      </c>
      <c r="H1356">
        <v>36</v>
      </c>
      <c r="I1356">
        <v>74075.09</v>
      </c>
      <c r="J1356">
        <v>0</v>
      </c>
      <c r="K1356">
        <v>0</v>
      </c>
      <c r="L1356">
        <v>2025</v>
      </c>
    </row>
    <row r="1357" spans="1:12" x14ac:dyDescent="0.25">
      <c r="A1357" s="1" t="s">
        <v>1389</v>
      </c>
      <c r="B1357" s="1" t="s">
        <v>16</v>
      </c>
      <c r="C1357">
        <v>33</v>
      </c>
      <c r="D1357" s="1" t="s">
        <v>422</v>
      </c>
      <c r="E1357">
        <v>34311.839999999997</v>
      </c>
      <c r="F1357">
        <v>27701.03</v>
      </c>
      <c r="G1357">
        <v>28</v>
      </c>
      <c r="H1357">
        <v>55</v>
      </c>
      <c r="I1357">
        <v>38919.339999999997</v>
      </c>
      <c r="J1357">
        <v>6195.09</v>
      </c>
      <c r="K1357">
        <v>1</v>
      </c>
      <c r="L1357">
        <v>2025</v>
      </c>
    </row>
    <row r="1358" spans="1:12" x14ac:dyDescent="0.25">
      <c r="A1358" s="1" t="s">
        <v>1390</v>
      </c>
      <c r="B1358" s="1" t="s">
        <v>12</v>
      </c>
      <c r="C1358">
        <v>46</v>
      </c>
      <c r="D1358" s="1" t="s">
        <v>422</v>
      </c>
      <c r="E1358">
        <v>44598.1</v>
      </c>
      <c r="F1358">
        <v>34843.230000000003</v>
      </c>
      <c r="G1358">
        <v>35</v>
      </c>
      <c r="H1358">
        <v>52</v>
      </c>
      <c r="I1358">
        <v>0</v>
      </c>
      <c r="J1358">
        <v>0</v>
      </c>
      <c r="K1358">
        <v>0</v>
      </c>
      <c r="L1358">
        <v>2025</v>
      </c>
    </row>
    <row r="1359" spans="1:12" x14ac:dyDescent="0.25">
      <c r="A1359" s="1" t="s">
        <v>1391</v>
      </c>
      <c r="B1359" s="1" t="s">
        <v>15</v>
      </c>
      <c r="C1359">
        <v>45</v>
      </c>
      <c r="D1359" s="1" t="s">
        <v>422</v>
      </c>
      <c r="E1359">
        <v>31289.33</v>
      </c>
      <c r="F1359">
        <v>24196.55</v>
      </c>
      <c r="G1359">
        <v>47</v>
      </c>
      <c r="H1359">
        <v>9</v>
      </c>
      <c r="I1359">
        <v>61224.38</v>
      </c>
      <c r="J1359">
        <v>0</v>
      </c>
      <c r="K1359">
        <v>0</v>
      </c>
      <c r="L1359">
        <v>2025</v>
      </c>
    </row>
    <row r="1360" spans="1:12" x14ac:dyDescent="0.25">
      <c r="A1360" s="1" t="s">
        <v>1392</v>
      </c>
      <c r="B1360" s="1" t="s">
        <v>14</v>
      </c>
      <c r="C1360">
        <v>76</v>
      </c>
      <c r="D1360" s="1" t="s">
        <v>422</v>
      </c>
      <c r="E1360">
        <v>74435.490000000005</v>
      </c>
      <c r="F1360">
        <v>56107.9</v>
      </c>
      <c r="G1360">
        <v>32</v>
      </c>
      <c r="H1360">
        <v>27</v>
      </c>
      <c r="I1360">
        <v>14072.25</v>
      </c>
      <c r="J1360">
        <v>6887.43</v>
      </c>
      <c r="K1360">
        <v>0</v>
      </c>
      <c r="L1360">
        <v>2025</v>
      </c>
    </row>
    <row r="1361" spans="1:12" x14ac:dyDescent="0.25">
      <c r="A1361" s="1" t="s">
        <v>1393</v>
      </c>
      <c r="B1361" s="1" t="s">
        <v>14</v>
      </c>
      <c r="C1361">
        <v>30</v>
      </c>
      <c r="D1361" s="1" t="s">
        <v>422</v>
      </c>
      <c r="E1361">
        <v>24247.02</v>
      </c>
      <c r="F1361">
        <v>21274.720000000001</v>
      </c>
      <c r="G1361">
        <v>60</v>
      </c>
      <c r="H1361">
        <v>43</v>
      </c>
      <c r="I1361">
        <v>38285.94</v>
      </c>
      <c r="J1361">
        <v>0</v>
      </c>
      <c r="K1361">
        <v>0</v>
      </c>
      <c r="L1361">
        <v>2025</v>
      </c>
    </row>
    <row r="1362" spans="1:12" x14ac:dyDescent="0.25">
      <c r="A1362" s="1" t="s">
        <v>1394</v>
      </c>
      <c r="B1362" s="1" t="s">
        <v>16</v>
      </c>
      <c r="C1362">
        <v>26</v>
      </c>
      <c r="D1362" s="1" t="s">
        <v>422</v>
      </c>
      <c r="E1362">
        <v>28606.48</v>
      </c>
      <c r="F1362">
        <v>20935.759999999998</v>
      </c>
      <c r="G1362">
        <v>47</v>
      </c>
      <c r="H1362">
        <v>79</v>
      </c>
      <c r="I1362">
        <v>23016.59</v>
      </c>
      <c r="J1362">
        <v>211.91</v>
      </c>
      <c r="K1362">
        <v>1</v>
      </c>
      <c r="L1362">
        <v>2025</v>
      </c>
    </row>
    <row r="1363" spans="1:12" x14ac:dyDescent="0.25">
      <c r="A1363" s="1" t="s">
        <v>1395</v>
      </c>
      <c r="B1363" s="1" t="s">
        <v>15</v>
      </c>
      <c r="C1363">
        <v>25</v>
      </c>
      <c r="D1363" s="1" t="s">
        <v>422</v>
      </c>
      <c r="E1363">
        <v>28529.46</v>
      </c>
      <c r="F1363">
        <v>28531.27</v>
      </c>
      <c r="G1363">
        <v>53</v>
      </c>
      <c r="H1363">
        <v>10</v>
      </c>
      <c r="I1363">
        <v>46153.27</v>
      </c>
      <c r="J1363">
        <v>7901.22</v>
      </c>
      <c r="K1363">
        <v>0</v>
      </c>
      <c r="L1363">
        <v>2025</v>
      </c>
    </row>
    <row r="1364" spans="1:12" x14ac:dyDescent="0.25">
      <c r="A1364" s="1" t="s">
        <v>1396</v>
      </c>
      <c r="B1364" s="1" t="s">
        <v>18</v>
      </c>
      <c r="C1364">
        <v>21</v>
      </c>
      <c r="D1364" s="1" t="s">
        <v>422</v>
      </c>
      <c r="E1364">
        <v>22589.02</v>
      </c>
      <c r="F1364">
        <v>19067.86</v>
      </c>
      <c r="G1364">
        <v>31</v>
      </c>
      <c r="H1364">
        <v>26</v>
      </c>
      <c r="I1364">
        <v>21245.09</v>
      </c>
      <c r="J1364">
        <v>5022.74</v>
      </c>
      <c r="K1364">
        <v>0</v>
      </c>
      <c r="L1364">
        <v>2025</v>
      </c>
    </row>
    <row r="1365" spans="1:12" x14ac:dyDescent="0.25">
      <c r="A1365" s="1" t="s">
        <v>1397</v>
      </c>
      <c r="B1365" s="1" t="s">
        <v>16</v>
      </c>
      <c r="C1365">
        <v>120</v>
      </c>
      <c r="D1365" s="1" t="s">
        <v>25</v>
      </c>
      <c r="E1365">
        <v>105689.8</v>
      </c>
      <c r="F1365">
        <v>76011.05</v>
      </c>
      <c r="G1365">
        <v>36</v>
      </c>
      <c r="H1365">
        <v>13</v>
      </c>
      <c r="I1365">
        <v>40449.050000000003</v>
      </c>
      <c r="J1365">
        <v>4810.7299999999996</v>
      </c>
      <c r="K1365">
        <v>0</v>
      </c>
      <c r="L1365">
        <v>2025</v>
      </c>
    </row>
    <row r="1366" spans="1:12" x14ac:dyDescent="0.25">
      <c r="A1366" s="1" t="s">
        <v>1398</v>
      </c>
      <c r="B1366" s="1" t="s">
        <v>14</v>
      </c>
      <c r="C1366">
        <v>69</v>
      </c>
      <c r="D1366" s="1" t="s">
        <v>25</v>
      </c>
      <c r="E1366">
        <v>67770.59</v>
      </c>
      <c r="F1366">
        <v>67457.39</v>
      </c>
      <c r="G1366">
        <v>30</v>
      </c>
      <c r="H1366">
        <v>13</v>
      </c>
      <c r="I1366">
        <v>17751.78</v>
      </c>
      <c r="J1366">
        <v>11789.98</v>
      </c>
      <c r="K1366">
        <v>0</v>
      </c>
      <c r="L1366">
        <v>2025</v>
      </c>
    </row>
    <row r="1367" spans="1:12" x14ac:dyDescent="0.25">
      <c r="A1367" s="1" t="s">
        <v>1399</v>
      </c>
      <c r="B1367" s="1" t="s">
        <v>18</v>
      </c>
      <c r="C1367">
        <v>113</v>
      </c>
      <c r="D1367" s="1" t="s">
        <v>25</v>
      </c>
      <c r="E1367">
        <v>93806.51</v>
      </c>
      <c r="F1367">
        <v>64445.15</v>
      </c>
      <c r="G1367">
        <v>60</v>
      </c>
      <c r="H1367">
        <v>2</v>
      </c>
      <c r="I1367">
        <v>68168.320000000007</v>
      </c>
      <c r="J1367">
        <v>0</v>
      </c>
      <c r="K1367">
        <v>0</v>
      </c>
      <c r="L1367">
        <v>2025</v>
      </c>
    </row>
    <row r="1368" spans="1:12" x14ac:dyDescent="0.25">
      <c r="A1368" s="1" t="s">
        <v>1400</v>
      </c>
      <c r="B1368" s="1" t="s">
        <v>14</v>
      </c>
      <c r="C1368">
        <v>41</v>
      </c>
      <c r="D1368" s="1" t="s">
        <v>25</v>
      </c>
      <c r="E1368">
        <v>30624.33</v>
      </c>
      <c r="F1368">
        <v>32016.84</v>
      </c>
      <c r="G1368">
        <v>55</v>
      </c>
      <c r="H1368">
        <v>0</v>
      </c>
      <c r="I1368">
        <v>29362.53</v>
      </c>
      <c r="J1368">
        <v>3468.96</v>
      </c>
      <c r="K1368">
        <v>0</v>
      </c>
      <c r="L1368">
        <v>2025</v>
      </c>
    </row>
    <row r="1369" spans="1:12" x14ac:dyDescent="0.25">
      <c r="A1369" s="1" t="s">
        <v>1401</v>
      </c>
      <c r="B1369" s="1" t="s">
        <v>18</v>
      </c>
      <c r="C1369">
        <v>102</v>
      </c>
      <c r="D1369" s="1" t="s">
        <v>25</v>
      </c>
      <c r="E1369">
        <v>82546.34</v>
      </c>
      <c r="F1369">
        <v>84561.2</v>
      </c>
      <c r="G1369">
        <v>24</v>
      </c>
      <c r="H1369">
        <v>11</v>
      </c>
      <c r="I1369">
        <v>53711.67</v>
      </c>
      <c r="J1369">
        <v>5574.61</v>
      </c>
      <c r="K1369">
        <v>0</v>
      </c>
      <c r="L1369">
        <v>2025</v>
      </c>
    </row>
    <row r="1370" spans="1:12" x14ac:dyDescent="0.25">
      <c r="A1370" s="1" t="s">
        <v>1402</v>
      </c>
      <c r="B1370" s="1" t="s">
        <v>12</v>
      </c>
      <c r="C1370">
        <v>52</v>
      </c>
      <c r="D1370" s="1" t="s">
        <v>25</v>
      </c>
      <c r="E1370">
        <v>50115.78</v>
      </c>
      <c r="F1370">
        <v>46678.87</v>
      </c>
      <c r="G1370">
        <v>58</v>
      </c>
      <c r="H1370">
        <v>44</v>
      </c>
      <c r="I1370">
        <v>3136.9</v>
      </c>
      <c r="J1370">
        <v>7230.47</v>
      </c>
      <c r="K1370">
        <v>0</v>
      </c>
      <c r="L1370">
        <v>2025</v>
      </c>
    </row>
    <row r="1371" spans="1:12" x14ac:dyDescent="0.25">
      <c r="A1371" s="1" t="s">
        <v>1403</v>
      </c>
      <c r="B1371" s="1" t="s">
        <v>18</v>
      </c>
      <c r="C1371">
        <v>108</v>
      </c>
      <c r="D1371" s="1" t="s">
        <v>25</v>
      </c>
      <c r="E1371">
        <v>86394.48</v>
      </c>
      <c r="F1371">
        <v>55144.05</v>
      </c>
      <c r="G1371">
        <v>10</v>
      </c>
      <c r="H1371">
        <v>39</v>
      </c>
      <c r="I1371">
        <v>31964.45</v>
      </c>
      <c r="J1371">
        <v>14538.45</v>
      </c>
      <c r="K1371">
        <v>0</v>
      </c>
      <c r="L1371">
        <v>2025</v>
      </c>
    </row>
    <row r="1372" spans="1:12" x14ac:dyDescent="0.25">
      <c r="A1372" s="1" t="s">
        <v>1404</v>
      </c>
      <c r="B1372" s="1" t="s">
        <v>16</v>
      </c>
      <c r="C1372">
        <v>79</v>
      </c>
      <c r="D1372" s="1" t="s">
        <v>25</v>
      </c>
      <c r="E1372">
        <v>65718.490000000005</v>
      </c>
      <c r="F1372">
        <v>55714.9</v>
      </c>
      <c r="G1372">
        <v>23</v>
      </c>
      <c r="H1372">
        <v>23</v>
      </c>
      <c r="I1372">
        <v>15535.62</v>
      </c>
      <c r="J1372">
        <v>5746.77</v>
      </c>
      <c r="K1372">
        <v>0</v>
      </c>
      <c r="L1372">
        <v>2025</v>
      </c>
    </row>
    <row r="1373" spans="1:12" x14ac:dyDescent="0.25">
      <c r="A1373" s="1" t="s">
        <v>1405</v>
      </c>
      <c r="B1373" s="1" t="s">
        <v>12</v>
      </c>
      <c r="C1373">
        <v>98</v>
      </c>
      <c r="D1373" s="1" t="s">
        <v>25</v>
      </c>
      <c r="E1373">
        <v>78306.25</v>
      </c>
      <c r="F1373">
        <v>56765.97</v>
      </c>
      <c r="G1373">
        <v>64</v>
      </c>
      <c r="H1373">
        <v>48</v>
      </c>
      <c r="I1373">
        <v>63110.38</v>
      </c>
      <c r="J1373">
        <v>4324.66</v>
      </c>
      <c r="K1373">
        <v>0</v>
      </c>
      <c r="L1373">
        <v>2025</v>
      </c>
    </row>
    <row r="1374" spans="1:12" x14ac:dyDescent="0.25">
      <c r="A1374" s="1" t="s">
        <v>1406</v>
      </c>
      <c r="B1374" s="1" t="s">
        <v>16</v>
      </c>
      <c r="C1374">
        <v>76</v>
      </c>
      <c r="D1374" s="1" t="s">
        <v>25</v>
      </c>
      <c r="E1374">
        <v>70714.429999999993</v>
      </c>
      <c r="F1374">
        <v>59177.09</v>
      </c>
      <c r="G1374">
        <v>30</v>
      </c>
      <c r="H1374">
        <v>50</v>
      </c>
      <c r="I1374">
        <v>46213.93</v>
      </c>
      <c r="J1374">
        <v>0</v>
      </c>
      <c r="K1374">
        <v>0</v>
      </c>
      <c r="L1374">
        <v>2025</v>
      </c>
    </row>
    <row r="1375" spans="1:12" x14ac:dyDescent="0.25">
      <c r="A1375" s="1" t="s">
        <v>1407</v>
      </c>
      <c r="B1375" s="1" t="s">
        <v>12</v>
      </c>
      <c r="C1375">
        <v>65</v>
      </c>
      <c r="D1375" s="1" t="s">
        <v>25</v>
      </c>
      <c r="E1375">
        <v>61401.07</v>
      </c>
      <c r="F1375">
        <v>65198.03</v>
      </c>
      <c r="G1375">
        <v>66</v>
      </c>
      <c r="H1375">
        <v>9</v>
      </c>
      <c r="I1375">
        <v>0</v>
      </c>
      <c r="J1375">
        <v>0</v>
      </c>
      <c r="K1375">
        <v>0</v>
      </c>
      <c r="L1375">
        <v>2025</v>
      </c>
    </row>
    <row r="1376" spans="1:12" x14ac:dyDescent="0.25">
      <c r="A1376" s="1" t="s">
        <v>1408</v>
      </c>
      <c r="B1376" s="1" t="s">
        <v>15</v>
      </c>
      <c r="C1376">
        <v>53</v>
      </c>
      <c r="D1376" s="1" t="s">
        <v>25</v>
      </c>
      <c r="E1376">
        <v>56328.34</v>
      </c>
      <c r="F1376">
        <v>55351.31</v>
      </c>
      <c r="G1376">
        <v>14</v>
      </c>
      <c r="H1376">
        <v>39</v>
      </c>
      <c r="I1376">
        <v>47297.13</v>
      </c>
      <c r="J1376">
        <v>0</v>
      </c>
      <c r="K1376">
        <v>0</v>
      </c>
      <c r="L1376">
        <v>2025</v>
      </c>
    </row>
    <row r="1377" spans="1:12" x14ac:dyDescent="0.25">
      <c r="A1377" s="1" t="s">
        <v>1409</v>
      </c>
      <c r="B1377" s="1" t="s">
        <v>12</v>
      </c>
      <c r="C1377">
        <v>99</v>
      </c>
      <c r="D1377" s="1" t="s">
        <v>25</v>
      </c>
      <c r="E1377">
        <v>91312.03</v>
      </c>
      <c r="F1377">
        <v>68372.69</v>
      </c>
      <c r="G1377">
        <v>23</v>
      </c>
      <c r="H1377">
        <v>9</v>
      </c>
      <c r="I1377">
        <v>56619.49</v>
      </c>
      <c r="J1377">
        <v>0</v>
      </c>
      <c r="K1377">
        <v>0</v>
      </c>
      <c r="L1377">
        <v>2025</v>
      </c>
    </row>
    <row r="1378" spans="1:12" x14ac:dyDescent="0.25">
      <c r="A1378" s="1" t="s">
        <v>1410</v>
      </c>
      <c r="B1378" s="1" t="s">
        <v>17</v>
      </c>
      <c r="C1378">
        <v>22</v>
      </c>
      <c r="D1378" s="1" t="s">
        <v>25</v>
      </c>
      <c r="E1378">
        <v>20955.060000000001</v>
      </c>
      <c r="F1378">
        <v>12853.01</v>
      </c>
      <c r="G1378">
        <v>63</v>
      </c>
      <c r="H1378">
        <v>34</v>
      </c>
      <c r="I1378">
        <v>30942.2</v>
      </c>
      <c r="J1378">
        <v>9056.09</v>
      </c>
      <c r="K1378">
        <v>1</v>
      </c>
      <c r="L1378">
        <v>2025</v>
      </c>
    </row>
    <row r="1379" spans="1:12" x14ac:dyDescent="0.25">
      <c r="A1379" s="1" t="s">
        <v>1411</v>
      </c>
      <c r="B1379" s="1" t="s">
        <v>15</v>
      </c>
      <c r="C1379">
        <v>90</v>
      </c>
      <c r="D1379" s="1" t="s">
        <v>25</v>
      </c>
      <c r="E1379">
        <v>77989</v>
      </c>
      <c r="F1379">
        <v>50082.97</v>
      </c>
      <c r="G1379">
        <v>41</v>
      </c>
      <c r="H1379">
        <v>1</v>
      </c>
      <c r="I1379">
        <v>0</v>
      </c>
      <c r="J1379">
        <v>4076.88</v>
      </c>
      <c r="K1379">
        <v>0</v>
      </c>
      <c r="L1379">
        <v>2025</v>
      </c>
    </row>
    <row r="1380" spans="1:12" x14ac:dyDescent="0.25">
      <c r="A1380" s="1" t="s">
        <v>1412</v>
      </c>
      <c r="B1380" s="1" t="s">
        <v>16</v>
      </c>
      <c r="C1380">
        <v>3</v>
      </c>
      <c r="D1380" s="1" t="s">
        <v>25</v>
      </c>
      <c r="E1380">
        <v>23687.97</v>
      </c>
      <c r="F1380">
        <v>17644.37</v>
      </c>
      <c r="G1380">
        <v>16</v>
      </c>
      <c r="H1380">
        <v>16</v>
      </c>
      <c r="I1380">
        <v>104383.23</v>
      </c>
      <c r="J1380">
        <v>2332.8000000000002</v>
      </c>
      <c r="K1380">
        <v>0</v>
      </c>
      <c r="L1380">
        <v>2025</v>
      </c>
    </row>
    <row r="1381" spans="1:12" x14ac:dyDescent="0.25">
      <c r="A1381" s="1" t="s">
        <v>1413</v>
      </c>
      <c r="B1381" s="1" t="s">
        <v>18</v>
      </c>
      <c r="C1381">
        <v>15</v>
      </c>
      <c r="D1381" s="1" t="s">
        <v>25</v>
      </c>
      <c r="E1381">
        <v>15772.78</v>
      </c>
      <c r="F1381">
        <v>9724.68</v>
      </c>
      <c r="G1381">
        <v>57</v>
      </c>
      <c r="H1381">
        <v>0</v>
      </c>
      <c r="I1381">
        <v>10415.1</v>
      </c>
      <c r="J1381">
        <v>0</v>
      </c>
      <c r="K1381">
        <v>0</v>
      </c>
      <c r="L1381">
        <v>2025</v>
      </c>
    </row>
    <row r="1382" spans="1:12" x14ac:dyDescent="0.25">
      <c r="A1382" s="1" t="s">
        <v>1414</v>
      </c>
      <c r="B1382" s="1" t="s">
        <v>14</v>
      </c>
      <c r="C1382">
        <v>83</v>
      </c>
      <c r="D1382" s="1" t="s">
        <v>25</v>
      </c>
      <c r="E1382">
        <v>75725.63</v>
      </c>
      <c r="F1382">
        <v>54387.43</v>
      </c>
      <c r="G1382">
        <v>41</v>
      </c>
      <c r="H1382">
        <v>9</v>
      </c>
      <c r="I1382">
        <v>46514.82</v>
      </c>
      <c r="J1382">
        <v>440.17</v>
      </c>
      <c r="K1382">
        <v>1</v>
      </c>
      <c r="L1382">
        <v>2025</v>
      </c>
    </row>
    <row r="1383" spans="1:12" x14ac:dyDescent="0.25">
      <c r="A1383" s="1" t="s">
        <v>1415</v>
      </c>
      <c r="B1383" s="1" t="s">
        <v>12</v>
      </c>
      <c r="C1383">
        <v>98</v>
      </c>
      <c r="D1383" s="1" t="s">
        <v>25</v>
      </c>
      <c r="E1383">
        <v>74804.41</v>
      </c>
      <c r="F1383">
        <v>67323.83</v>
      </c>
      <c r="G1383">
        <v>33</v>
      </c>
      <c r="H1383">
        <v>17</v>
      </c>
      <c r="I1383">
        <v>49514.76</v>
      </c>
      <c r="J1383">
        <v>9154.3799999999992</v>
      </c>
      <c r="K1383">
        <v>0</v>
      </c>
      <c r="L1383">
        <v>2025</v>
      </c>
    </row>
    <row r="1384" spans="1:12" x14ac:dyDescent="0.25">
      <c r="A1384" s="1" t="s">
        <v>1416</v>
      </c>
      <c r="B1384" s="1" t="s">
        <v>17</v>
      </c>
      <c r="C1384">
        <v>60</v>
      </c>
      <c r="D1384" s="1" t="s">
        <v>25</v>
      </c>
      <c r="E1384">
        <v>43572.69</v>
      </c>
      <c r="F1384">
        <v>31515.45</v>
      </c>
      <c r="G1384">
        <v>25</v>
      </c>
      <c r="H1384">
        <v>62</v>
      </c>
      <c r="I1384">
        <v>32290.43</v>
      </c>
      <c r="J1384">
        <v>6484.19</v>
      </c>
      <c r="K1384">
        <v>0</v>
      </c>
      <c r="L1384">
        <v>2025</v>
      </c>
    </row>
    <row r="1385" spans="1:12" x14ac:dyDescent="0.25">
      <c r="A1385" s="1" t="s">
        <v>1417</v>
      </c>
      <c r="B1385" s="1" t="s">
        <v>15</v>
      </c>
      <c r="C1385">
        <v>85</v>
      </c>
      <c r="D1385" s="1" t="s">
        <v>25</v>
      </c>
      <c r="E1385">
        <v>57662.21</v>
      </c>
      <c r="F1385">
        <v>54014.400000000001</v>
      </c>
      <c r="G1385">
        <v>57</v>
      </c>
      <c r="H1385">
        <v>34</v>
      </c>
      <c r="I1385">
        <v>52711.78</v>
      </c>
      <c r="J1385">
        <v>683.74</v>
      </c>
      <c r="K1385">
        <v>0</v>
      </c>
      <c r="L1385">
        <v>2025</v>
      </c>
    </row>
    <row r="1386" spans="1:12" x14ac:dyDescent="0.25">
      <c r="A1386" s="1" t="s">
        <v>1418</v>
      </c>
      <c r="B1386" s="1" t="s">
        <v>17</v>
      </c>
      <c r="C1386">
        <v>53</v>
      </c>
      <c r="D1386" s="1" t="s">
        <v>25</v>
      </c>
      <c r="E1386">
        <v>38986.699999999997</v>
      </c>
      <c r="F1386">
        <v>40517.71</v>
      </c>
      <c r="G1386">
        <v>21</v>
      </c>
      <c r="H1386">
        <v>62</v>
      </c>
      <c r="I1386">
        <v>25803.83</v>
      </c>
      <c r="J1386">
        <v>10399.32</v>
      </c>
      <c r="K1386">
        <v>1</v>
      </c>
      <c r="L1386">
        <v>2025</v>
      </c>
    </row>
    <row r="1387" spans="1:12" x14ac:dyDescent="0.25">
      <c r="A1387" s="1" t="s">
        <v>1419</v>
      </c>
      <c r="B1387" s="1" t="s">
        <v>14</v>
      </c>
      <c r="C1387">
        <v>85</v>
      </c>
      <c r="D1387" s="1" t="s">
        <v>25</v>
      </c>
      <c r="E1387">
        <v>87798.12</v>
      </c>
      <c r="F1387">
        <v>71572.81</v>
      </c>
      <c r="G1387">
        <v>47</v>
      </c>
      <c r="H1387">
        <v>28</v>
      </c>
      <c r="I1387">
        <v>52460.36</v>
      </c>
      <c r="J1387">
        <v>3933.98</v>
      </c>
      <c r="K1387">
        <v>0</v>
      </c>
      <c r="L1387">
        <v>2025</v>
      </c>
    </row>
    <row r="1388" spans="1:12" x14ac:dyDescent="0.25">
      <c r="A1388" s="1" t="s">
        <v>1420</v>
      </c>
      <c r="B1388" s="1" t="s">
        <v>18</v>
      </c>
      <c r="C1388">
        <v>108</v>
      </c>
      <c r="D1388" s="1" t="s">
        <v>25</v>
      </c>
      <c r="E1388">
        <v>86013.119999999995</v>
      </c>
      <c r="F1388">
        <v>74005.67</v>
      </c>
      <c r="G1388">
        <v>28</v>
      </c>
      <c r="H1388">
        <v>54</v>
      </c>
      <c r="I1388">
        <v>63550.55</v>
      </c>
      <c r="J1388">
        <v>0</v>
      </c>
      <c r="K1388">
        <v>1</v>
      </c>
      <c r="L1388">
        <v>2025</v>
      </c>
    </row>
    <row r="1389" spans="1:12" x14ac:dyDescent="0.25">
      <c r="A1389" s="1" t="s">
        <v>1421</v>
      </c>
      <c r="B1389" s="1" t="s">
        <v>17</v>
      </c>
      <c r="C1389">
        <v>111</v>
      </c>
      <c r="D1389" s="1" t="s">
        <v>25</v>
      </c>
      <c r="E1389">
        <v>98600.24</v>
      </c>
      <c r="F1389">
        <v>98915.66</v>
      </c>
      <c r="G1389">
        <v>31</v>
      </c>
      <c r="H1389">
        <v>19</v>
      </c>
      <c r="I1389">
        <v>59630.14</v>
      </c>
      <c r="J1389">
        <v>0</v>
      </c>
      <c r="K1389">
        <v>0</v>
      </c>
      <c r="L1389">
        <v>2025</v>
      </c>
    </row>
    <row r="1390" spans="1:12" x14ac:dyDescent="0.25">
      <c r="A1390" s="1" t="s">
        <v>1422</v>
      </c>
      <c r="B1390" s="1" t="s">
        <v>17</v>
      </c>
      <c r="C1390">
        <v>71</v>
      </c>
      <c r="D1390" s="1" t="s">
        <v>25</v>
      </c>
      <c r="E1390">
        <v>58307.22</v>
      </c>
      <c r="F1390">
        <v>44318.19</v>
      </c>
      <c r="G1390">
        <v>17</v>
      </c>
      <c r="H1390">
        <v>11</v>
      </c>
      <c r="I1390">
        <v>72908.13</v>
      </c>
      <c r="J1390">
        <v>4739.1400000000003</v>
      </c>
      <c r="K1390">
        <v>0</v>
      </c>
      <c r="L1390">
        <v>2025</v>
      </c>
    </row>
    <row r="1391" spans="1:12" x14ac:dyDescent="0.25">
      <c r="A1391" s="1" t="s">
        <v>1423</v>
      </c>
      <c r="B1391" s="1" t="s">
        <v>18</v>
      </c>
      <c r="C1391">
        <v>99</v>
      </c>
      <c r="D1391" s="1" t="s">
        <v>25</v>
      </c>
      <c r="E1391">
        <v>80164.240000000005</v>
      </c>
      <c r="F1391">
        <v>46651.43</v>
      </c>
      <c r="G1391">
        <v>56</v>
      </c>
      <c r="H1391">
        <v>40</v>
      </c>
      <c r="I1391">
        <v>53471.79</v>
      </c>
      <c r="J1391">
        <v>6889.02</v>
      </c>
      <c r="K1391">
        <v>0</v>
      </c>
      <c r="L1391">
        <v>2025</v>
      </c>
    </row>
    <row r="1392" spans="1:12" x14ac:dyDescent="0.25">
      <c r="A1392" s="1" t="s">
        <v>1424</v>
      </c>
      <c r="B1392" s="1" t="s">
        <v>15</v>
      </c>
      <c r="C1392">
        <v>61</v>
      </c>
      <c r="D1392" s="1" t="s">
        <v>25</v>
      </c>
      <c r="E1392">
        <v>51128.56</v>
      </c>
      <c r="F1392">
        <v>31552.240000000002</v>
      </c>
      <c r="G1392">
        <v>52</v>
      </c>
      <c r="H1392">
        <v>21</v>
      </c>
      <c r="I1392">
        <v>22744.09</v>
      </c>
      <c r="J1392">
        <v>4861.6099999999997</v>
      </c>
      <c r="K1392">
        <v>0</v>
      </c>
      <c r="L1392">
        <v>2025</v>
      </c>
    </row>
    <row r="1393" spans="1:12" x14ac:dyDescent="0.25">
      <c r="A1393" s="1" t="s">
        <v>1425</v>
      </c>
      <c r="B1393" s="1" t="s">
        <v>16</v>
      </c>
      <c r="C1393">
        <v>41</v>
      </c>
      <c r="D1393" s="1" t="s">
        <v>25</v>
      </c>
      <c r="E1393">
        <v>32889.29</v>
      </c>
      <c r="F1393">
        <v>19974.599999999999</v>
      </c>
      <c r="G1393">
        <v>41</v>
      </c>
      <c r="H1393">
        <v>0</v>
      </c>
      <c r="I1393">
        <v>62097.96</v>
      </c>
      <c r="J1393">
        <v>0</v>
      </c>
      <c r="K1393">
        <v>0</v>
      </c>
      <c r="L1393">
        <v>2025</v>
      </c>
    </row>
    <row r="1394" spans="1:12" x14ac:dyDescent="0.25">
      <c r="A1394" s="1" t="s">
        <v>1426</v>
      </c>
      <c r="B1394" s="1" t="s">
        <v>15</v>
      </c>
      <c r="C1394">
        <v>41</v>
      </c>
      <c r="D1394" s="1" t="s">
        <v>25</v>
      </c>
      <c r="E1394">
        <v>45915.8</v>
      </c>
      <c r="F1394">
        <v>45474</v>
      </c>
      <c r="G1394">
        <v>50</v>
      </c>
      <c r="H1394">
        <v>75</v>
      </c>
      <c r="I1394">
        <v>39256.58</v>
      </c>
      <c r="J1394">
        <v>0</v>
      </c>
      <c r="K1394">
        <v>1</v>
      </c>
      <c r="L1394">
        <v>2025</v>
      </c>
    </row>
    <row r="1395" spans="1:12" x14ac:dyDescent="0.25">
      <c r="A1395" s="1" t="s">
        <v>1427</v>
      </c>
      <c r="B1395" s="1" t="s">
        <v>18</v>
      </c>
      <c r="C1395">
        <v>76</v>
      </c>
      <c r="D1395" s="1" t="s">
        <v>25</v>
      </c>
      <c r="E1395">
        <v>84127.19</v>
      </c>
      <c r="F1395">
        <v>75985.210000000006</v>
      </c>
      <c r="G1395">
        <v>27</v>
      </c>
      <c r="H1395">
        <v>10</v>
      </c>
      <c r="I1395">
        <v>57347.46</v>
      </c>
      <c r="J1395">
        <v>1567.09</v>
      </c>
      <c r="K1395">
        <v>1</v>
      </c>
      <c r="L1395">
        <v>2025</v>
      </c>
    </row>
    <row r="1396" spans="1:12" x14ac:dyDescent="0.25">
      <c r="A1396" s="1" t="s">
        <v>1428</v>
      </c>
      <c r="B1396" s="1" t="s">
        <v>15</v>
      </c>
      <c r="C1396">
        <v>16</v>
      </c>
      <c r="D1396" s="1" t="s">
        <v>25</v>
      </c>
      <c r="E1396">
        <v>36335.589999999997</v>
      </c>
      <c r="F1396">
        <v>34876.14</v>
      </c>
      <c r="G1396">
        <v>45</v>
      </c>
      <c r="H1396">
        <v>32</v>
      </c>
      <c r="I1396">
        <v>58483.95</v>
      </c>
      <c r="J1396">
        <v>6405.11</v>
      </c>
      <c r="K1396">
        <v>0</v>
      </c>
      <c r="L1396">
        <v>2025</v>
      </c>
    </row>
    <row r="1397" spans="1:12" x14ac:dyDescent="0.25">
      <c r="A1397" s="1" t="s">
        <v>1429</v>
      </c>
      <c r="B1397" s="1" t="s">
        <v>16</v>
      </c>
      <c r="C1397">
        <v>76</v>
      </c>
      <c r="D1397" s="1" t="s">
        <v>25</v>
      </c>
      <c r="E1397">
        <v>70602.81</v>
      </c>
      <c r="F1397">
        <v>62903.86</v>
      </c>
      <c r="G1397">
        <v>18</v>
      </c>
      <c r="H1397">
        <v>35</v>
      </c>
      <c r="I1397">
        <v>0</v>
      </c>
      <c r="J1397">
        <v>0</v>
      </c>
      <c r="K1397">
        <v>0</v>
      </c>
      <c r="L1397">
        <v>2025</v>
      </c>
    </row>
    <row r="1398" spans="1:12" x14ac:dyDescent="0.25">
      <c r="A1398" s="1" t="s">
        <v>1430</v>
      </c>
      <c r="B1398" s="1" t="s">
        <v>16</v>
      </c>
      <c r="C1398">
        <v>84</v>
      </c>
      <c r="D1398" s="1" t="s">
        <v>25</v>
      </c>
      <c r="E1398">
        <v>68962.559999999998</v>
      </c>
      <c r="F1398">
        <v>62500.21</v>
      </c>
      <c r="G1398">
        <v>46</v>
      </c>
      <c r="H1398">
        <v>11</v>
      </c>
      <c r="I1398">
        <v>5697.4</v>
      </c>
      <c r="J1398">
        <v>9401.2000000000007</v>
      </c>
      <c r="K1398">
        <v>0</v>
      </c>
      <c r="L1398">
        <v>2025</v>
      </c>
    </row>
    <row r="1399" spans="1:12" x14ac:dyDescent="0.25">
      <c r="A1399" s="1" t="s">
        <v>1431</v>
      </c>
      <c r="B1399" s="1" t="s">
        <v>12</v>
      </c>
      <c r="C1399">
        <v>88</v>
      </c>
      <c r="D1399" s="1" t="s">
        <v>25</v>
      </c>
      <c r="E1399">
        <v>90360.27</v>
      </c>
      <c r="F1399">
        <v>64646.45</v>
      </c>
      <c r="G1399">
        <v>47</v>
      </c>
      <c r="H1399">
        <v>27</v>
      </c>
      <c r="I1399">
        <v>5592.16</v>
      </c>
      <c r="J1399">
        <v>3738.34</v>
      </c>
      <c r="K1399">
        <v>0</v>
      </c>
      <c r="L1399">
        <v>2025</v>
      </c>
    </row>
    <row r="1400" spans="1:12" x14ac:dyDescent="0.25">
      <c r="A1400" s="1" t="s">
        <v>1432</v>
      </c>
      <c r="B1400" s="1" t="s">
        <v>16</v>
      </c>
      <c r="C1400">
        <v>47</v>
      </c>
      <c r="D1400" s="1" t="s">
        <v>25</v>
      </c>
      <c r="E1400">
        <v>30613.53</v>
      </c>
      <c r="F1400">
        <v>18137.14</v>
      </c>
      <c r="G1400">
        <v>52</v>
      </c>
      <c r="H1400">
        <v>10</v>
      </c>
      <c r="I1400">
        <v>65387.69</v>
      </c>
      <c r="J1400">
        <v>72.36</v>
      </c>
      <c r="K1400">
        <v>0</v>
      </c>
      <c r="L1400">
        <v>2025</v>
      </c>
    </row>
    <row r="1401" spans="1:12" x14ac:dyDescent="0.25">
      <c r="A1401" s="1" t="s">
        <v>1433</v>
      </c>
      <c r="B1401" s="1" t="s">
        <v>15</v>
      </c>
      <c r="C1401">
        <v>46</v>
      </c>
      <c r="D1401" s="1" t="s">
        <v>25</v>
      </c>
      <c r="E1401">
        <v>44744.68</v>
      </c>
      <c r="F1401">
        <v>34831.199999999997</v>
      </c>
      <c r="G1401">
        <v>57</v>
      </c>
      <c r="H1401">
        <v>32</v>
      </c>
      <c r="I1401">
        <v>83028.429999999993</v>
      </c>
      <c r="J1401">
        <v>4055.56</v>
      </c>
      <c r="K1401">
        <v>1</v>
      </c>
      <c r="L1401">
        <v>2025</v>
      </c>
    </row>
    <row r="1402" spans="1:12" x14ac:dyDescent="0.25">
      <c r="A1402" s="1" t="s">
        <v>1434</v>
      </c>
      <c r="B1402" s="1" t="s">
        <v>14</v>
      </c>
      <c r="C1402">
        <v>96</v>
      </c>
      <c r="D1402" s="1" t="s">
        <v>25</v>
      </c>
      <c r="E1402">
        <v>72199.460000000006</v>
      </c>
      <c r="F1402">
        <v>47247.18</v>
      </c>
      <c r="G1402">
        <v>50</v>
      </c>
      <c r="H1402">
        <v>14</v>
      </c>
      <c r="I1402">
        <v>27747.93</v>
      </c>
      <c r="J1402">
        <v>354.85</v>
      </c>
      <c r="K1402">
        <v>0</v>
      </c>
      <c r="L1402">
        <v>2025</v>
      </c>
    </row>
    <row r="1403" spans="1:12" x14ac:dyDescent="0.25">
      <c r="A1403" s="1" t="s">
        <v>1435</v>
      </c>
      <c r="B1403" s="1" t="s">
        <v>15</v>
      </c>
      <c r="C1403">
        <v>31</v>
      </c>
      <c r="D1403" s="1" t="s">
        <v>25</v>
      </c>
      <c r="E1403">
        <v>26864.27</v>
      </c>
      <c r="F1403">
        <v>20264.95</v>
      </c>
      <c r="G1403">
        <v>33</v>
      </c>
      <c r="H1403">
        <v>49</v>
      </c>
      <c r="I1403">
        <v>8337.41</v>
      </c>
      <c r="J1403">
        <v>5171.1099999999997</v>
      </c>
      <c r="K1403">
        <v>0</v>
      </c>
      <c r="L1403">
        <v>2025</v>
      </c>
    </row>
    <row r="1404" spans="1:12" x14ac:dyDescent="0.25">
      <c r="A1404" s="1" t="s">
        <v>1436</v>
      </c>
      <c r="B1404" s="1" t="s">
        <v>18</v>
      </c>
      <c r="C1404">
        <v>34</v>
      </c>
      <c r="D1404" s="1" t="s">
        <v>25</v>
      </c>
      <c r="E1404">
        <v>31758.95</v>
      </c>
      <c r="F1404">
        <v>33548.03</v>
      </c>
      <c r="G1404">
        <v>25</v>
      </c>
      <c r="H1404">
        <v>8</v>
      </c>
      <c r="I1404">
        <v>33663.93</v>
      </c>
      <c r="J1404">
        <v>2501.91</v>
      </c>
      <c r="K1404">
        <v>0</v>
      </c>
      <c r="L1404">
        <v>2025</v>
      </c>
    </row>
    <row r="1405" spans="1:12" x14ac:dyDescent="0.25">
      <c r="A1405" s="1" t="s">
        <v>1437</v>
      </c>
      <c r="B1405" s="1" t="s">
        <v>14</v>
      </c>
      <c r="C1405">
        <v>30</v>
      </c>
      <c r="D1405" s="1" t="s">
        <v>25</v>
      </c>
      <c r="E1405">
        <v>28290.12</v>
      </c>
      <c r="F1405">
        <v>27055.74</v>
      </c>
      <c r="G1405">
        <v>50</v>
      </c>
      <c r="H1405">
        <v>67</v>
      </c>
      <c r="I1405">
        <v>0</v>
      </c>
      <c r="J1405">
        <v>3724.44</v>
      </c>
      <c r="K1405">
        <v>0</v>
      </c>
      <c r="L1405">
        <v>2025</v>
      </c>
    </row>
    <row r="1406" spans="1:12" x14ac:dyDescent="0.25">
      <c r="A1406" s="1" t="s">
        <v>1438</v>
      </c>
      <c r="B1406" s="1" t="s">
        <v>15</v>
      </c>
      <c r="C1406">
        <v>51</v>
      </c>
      <c r="D1406" s="1" t="s">
        <v>25</v>
      </c>
      <c r="E1406">
        <v>51702.49</v>
      </c>
      <c r="F1406">
        <v>38195.67</v>
      </c>
      <c r="G1406">
        <v>20</v>
      </c>
      <c r="H1406">
        <v>45</v>
      </c>
      <c r="I1406">
        <v>34917.82</v>
      </c>
      <c r="J1406">
        <v>0</v>
      </c>
      <c r="K1406">
        <v>0</v>
      </c>
      <c r="L1406">
        <v>2025</v>
      </c>
    </row>
    <row r="1407" spans="1:12" x14ac:dyDescent="0.25">
      <c r="A1407" s="1" t="s">
        <v>1439</v>
      </c>
      <c r="B1407" s="1" t="s">
        <v>15</v>
      </c>
      <c r="C1407">
        <v>44</v>
      </c>
      <c r="D1407" s="1" t="s">
        <v>25</v>
      </c>
      <c r="E1407">
        <v>33198.71</v>
      </c>
      <c r="F1407">
        <v>34521.910000000003</v>
      </c>
      <c r="G1407">
        <v>52</v>
      </c>
      <c r="H1407">
        <v>39</v>
      </c>
      <c r="I1407">
        <v>21018.21</v>
      </c>
      <c r="J1407">
        <v>0</v>
      </c>
      <c r="K1407">
        <v>0</v>
      </c>
      <c r="L1407">
        <v>2025</v>
      </c>
    </row>
    <row r="1408" spans="1:12" x14ac:dyDescent="0.25">
      <c r="A1408" s="1" t="s">
        <v>1440</v>
      </c>
      <c r="B1408" s="1" t="s">
        <v>17</v>
      </c>
      <c r="C1408">
        <v>61</v>
      </c>
      <c r="D1408" s="1" t="s">
        <v>25</v>
      </c>
      <c r="E1408">
        <v>62280.9</v>
      </c>
      <c r="F1408">
        <v>67107.39</v>
      </c>
      <c r="G1408">
        <v>46</v>
      </c>
      <c r="H1408">
        <v>24</v>
      </c>
      <c r="I1408">
        <v>35017.1</v>
      </c>
      <c r="J1408">
        <v>3350.66</v>
      </c>
      <c r="K1408">
        <v>0</v>
      </c>
      <c r="L1408">
        <v>2025</v>
      </c>
    </row>
    <row r="1409" spans="1:12" x14ac:dyDescent="0.25">
      <c r="A1409" s="1" t="s">
        <v>1441</v>
      </c>
      <c r="B1409" s="1" t="s">
        <v>18</v>
      </c>
      <c r="C1409">
        <v>92</v>
      </c>
      <c r="D1409" s="1" t="s">
        <v>25</v>
      </c>
      <c r="E1409">
        <v>69307.42</v>
      </c>
      <c r="F1409">
        <v>74763.81</v>
      </c>
      <c r="G1409">
        <v>35</v>
      </c>
      <c r="H1409">
        <v>58</v>
      </c>
      <c r="I1409">
        <v>32633.119999999999</v>
      </c>
      <c r="J1409">
        <v>2745.31</v>
      </c>
      <c r="K1409">
        <v>1</v>
      </c>
      <c r="L1409">
        <v>2025</v>
      </c>
    </row>
    <row r="1410" spans="1:12" x14ac:dyDescent="0.25">
      <c r="A1410" s="1" t="s">
        <v>1442</v>
      </c>
      <c r="B1410" s="1" t="s">
        <v>16</v>
      </c>
      <c r="C1410">
        <v>97</v>
      </c>
      <c r="D1410" s="1" t="s">
        <v>25</v>
      </c>
      <c r="E1410">
        <v>80989.67</v>
      </c>
      <c r="F1410">
        <v>76930.06</v>
      </c>
      <c r="G1410">
        <v>50</v>
      </c>
      <c r="H1410">
        <v>28</v>
      </c>
      <c r="I1410">
        <v>13194.2</v>
      </c>
      <c r="J1410">
        <v>0</v>
      </c>
      <c r="K1410">
        <v>0</v>
      </c>
      <c r="L1410">
        <v>2025</v>
      </c>
    </row>
    <row r="1411" spans="1:12" x14ac:dyDescent="0.25">
      <c r="A1411" s="1" t="s">
        <v>1443</v>
      </c>
      <c r="B1411" s="1" t="s">
        <v>14</v>
      </c>
      <c r="C1411">
        <v>89</v>
      </c>
      <c r="D1411" s="1" t="s">
        <v>25</v>
      </c>
      <c r="E1411">
        <v>60152.32</v>
      </c>
      <c r="F1411">
        <v>36032.39</v>
      </c>
      <c r="G1411">
        <v>53</v>
      </c>
      <c r="H1411">
        <v>0</v>
      </c>
      <c r="I1411">
        <v>30669.77</v>
      </c>
      <c r="J1411">
        <v>5021.2299999999996</v>
      </c>
      <c r="K1411">
        <v>0</v>
      </c>
      <c r="L1411">
        <v>2025</v>
      </c>
    </row>
    <row r="1412" spans="1:12" x14ac:dyDescent="0.25">
      <c r="A1412" s="1" t="s">
        <v>1444</v>
      </c>
      <c r="B1412" s="1" t="s">
        <v>15</v>
      </c>
      <c r="C1412">
        <v>78</v>
      </c>
      <c r="D1412" s="1" t="s">
        <v>25</v>
      </c>
      <c r="E1412">
        <v>41221.33</v>
      </c>
      <c r="F1412">
        <v>33971.870000000003</v>
      </c>
      <c r="G1412">
        <v>41</v>
      </c>
      <c r="H1412">
        <v>19</v>
      </c>
      <c r="I1412">
        <v>0</v>
      </c>
      <c r="J1412">
        <v>9833.5300000000007</v>
      </c>
      <c r="K1412">
        <v>0</v>
      </c>
      <c r="L1412">
        <v>2025</v>
      </c>
    </row>
    <row r="1413" spans="1:12" x14ac:dyDescent="0.25">
      <c r="A1413" s="1" t="s">
        <v>1445</v>
      </c>
      <c r="B1413" s="1" t="s">
        <v>16</v>
      </c>
      <c r="C1413">
        <v>104</v>
      </c>
      <c r="D1413" s="1" t="s">
        <v>25</v>
      </c>
      <c r="E1413">
        <v>88450.78</v>
      </c>
      <c r="F1413">
        <v>90954.25</v>
      </c>
      <c r="G1413">
        <v>30</v>
      </c>
      <c r="H1413">
        <v>25</v>
      </c>
      <c r="I1413">
        <v>66620.22</v>
      </c>
      <c r="J1413">
        <v>6707.29</v>
      </c>
      <c r="K1413">
        <v>0</v>
      </c>
      <c r="L1413">
        <v>2025</v>
      </c>
    </row>
    <row r="1414" spans="1:12" x14ac:dyDescent="0.25">
      <c r="A1414" s="1" t="s">
        <v>1446</v>
      </c>
      <c r="B1414" s="1" t="s">
        <v>18</v>
      </c>
      <c r="C1414">
        <v>77</v>
      </c>
      <c r="D1414" s="1" t="s">
        <v>25</v>
      </c>
      <c r="E1414">
        <v>61447.63</v>
      </c>
      <c r="F1414">
        <v>57571.27</v>
      </c>
      <c r="G1414">
        <v>10</v>
      </c>
      <c r="H1414">
        <v>4</v>
      </c>
      <c r="I1414">
        <v>30515.78</v>
      </c>
      <c r="J1414">
        <v>1434.18</v>
      </c>
      <c r="K1414">
        <v>1</v>
      </c>
      <c r="L1414">
        <v>2025</v>
      </c>
    </row>
    <row r="1415" spans="1:12" x14ac:dyDescent="0.25">
      <c r="A1415" s="1" t="s">
        <v>1447</v>
      </c>
      <c r="B1415" s="1" t="s">
        <v>17</v>
      </c>
      <c r="C1415">
        <v>63</v>
      </c>
      <c r="D1415" s="1" t="s">
        <v>25</v>
      </c>
      <c r="E1415">
        <v>64779.040000000001</v>
      </c>
      <c r="F1415">
        <v>45992.37</v>
      </c>
      <c r="G1415">
        <v>41</v>
      </c>
      <c r="H1415">
        <v>76</v>
      </c>
      <c r="I1415">
        <v>68734.679999999993</v>
      </c>
      <c r="J1415">
        <v>0</v>
      </c>
      <c r="K1415">
        <v>0</v>
      </c>
      <c r="L1415">
        <v>2025</v>
      </c>
    </row>
    <row r="1416" spans="1:12" x14ac:dyDescent="0.25">
      <c r="A1416" s="1" t="s">
        <v>1448</v>
      </c>
      <c r="B1416" s="1" t="s">
        <v>18</v>
      </c>
      <c r="C1416">
        <v>31</v>
      </c>
      <c r="D1416" s="1" t="s">
        <v>25</v>
      </c>
      <c r="E1416">
        <v>31104.28</v>
      </c>
      <c r="F1416">
        <v>30819.13</v>
      </c>
      <c r="G1416">
        <v>40</v>
      </c>
      <c r="H1416">
        <v>35</v>
      </c>
      <c r="I1416">
        <v>0</v>
      </c>
      <c r="J1416">
        <v>0</v>
      </c>
      <c r="K1416">
        <v>1</v>
      </c>
      <c r="L1416">
        <v>2025</v>
      </c>
    </row>
    <row r="1417" spans="1:12" x14ac:dyDescent="0.25">
      <c r="A1417" s="1" t="s">
        <v>1449</v>
      </c>
      <c r="B1417" s="1" t="s">
        <v>18</v>
      </c>
      <c r="C1417">
        <v>23</v>
      </c>
      <c r="D1417" s="1" t="s">
        <v>25</v>
      </c>
      <c r="E1417">
        <v>40318.21</v>
      </c>
      <c r="F1417">
        <v>41598.65</v>
      </c>
      <c r="G1417">
        <v>42</v>
      </c>
      <c r="H1417">
        <v>41</v>
      </c>
      <c r="I1417">
        <v>60377.16</v>
      </c>
      <c r="J1417">
        <v>0</v>
      </c>
      <c r="K1417">
        <v>0</v>
      </c>
      <c r="L1417">
        <v>2025</v>
      </c>
    </row>
    <row r="1418" spans="1:12" x14ac:dyDescent="0.25">
      <c r="A1418" s="1" t="s">
        <v>1450</v>
      </c>
      <c r="B1418" s="1" t="s">
        <v>18</v>
      </c>
      <c r="C1418">
        <v>51</v>
      </c>
      <c r="D1418" s="1" t="s">
        <v>25</v>
      </c>
      <c r="E1418">
        <v>45260.36</v>
      </c>
      <c r="F1418">
        <v>33860.699999999997</v>
      </c>
      <c r="G1418">
        <v>10</v>
      </c>
      <c r="H1418">
        <v>30</v>
      </c>
      <c r="I1418">
        <v>13366.8</v>
      </c>
      <c r="J1418">
        <v>0</v>
      </c>
      <c r="K1418">
        <v>0</v>
      </c>
      <c r="L1418">
        <v>2025</v>
      </c>
    </row>
    <row r="1419" spans="1:12" x14ac:dyDescent="0.25">
      <c r="A1419" s="1" t="s">
        <v>1451</v>
      </c>
      <c r="B1419" s="1" t="s">
        <v>14</v>
      </c>
      <c r="C1419">
        <v>57</v>
      </c>
      <c r="D1419" s="1" t="s">
        <v>25</v>
      </c>
      <c r="E1419">
        <v>54757.95</v>
      </c>
      <c r="F1419">
        <v>52256.74</v>
      </c>
      <c r="G1419">
        <v>24</v>
      </c>
      <c r="H1419">
        <v>12</v>
      </c>
      <c r="I1419">
        <v>50306.78</v>
      </c>
      <c r="J1419">
        <v>6836.31</v>
      </c>
      <c r="K1419">
        <v>0</v>
      </c>
      <c r="L1419">
        <v>2025</v>
      </c>
    </row>
    <row r="1420" spans="1:12" x14ac:dyDescent="0.25">
      <c r="A1420" s="1" t="s">
        <v>1452</v>
      </c>
      <c r="B1420" s="1" t="s">
        <v>18</v>
      </c>
      <c r="C1420">
        <v>41</v>
      </c>
      <c r="D1420" s="1" t="s">
        <v>25</v>
      </c>
      <c r="E1420">
        <v>44299.01</v>
      </c>
      <c r="F1420">
        <v>38093.67</v>
      </c>
      <c r="G1420">
        <v>41</v>
      </c>
      <c r="H1420">
        <v>37</v>
      </c>
      <c r="I1420">
        <v>56318.33</v>
      </c>
      <c r="J1420">
        <v>4401.3999999999996</v>
      </c>
      <c r="K1420">
        <v>0</v>
      </c>
      <c r="L1420">
        <v>2025</v>
      </c>
    </row>
    <row r="1421" spans="1:12" x14ac:dyDescent="0.25">
      <c r="A1421" s="1" t="s">
        <v>1453</v>
      </c>
      <c r="B1421" s="1" t="s">
        <v>18</v>
      </c>
      <c r="C1421">
        <v>104</v>
      </c>
      <c r="D1421" s="1" t="s">
        <v>25</v>
      </c>
      <c r="E1421">
        <v>62149.35</v>
      </c>
      <c r="F1421">
        <v>46545.04</v>
      </c>
      <c r="G1421">
        <v>30</v>
      </c>
      <c r="H1421">
        <v>19</v>
      </c>
      <c r="I1421">
        <v>53011.54</v>
      </c>
      <c r="J1421">
        <v>4956.2700000000004</v>
      </c>
      <c r="K1421">
        <v>0</v>
      </c>
      <c r="L1421">
        <v>2025</v>
      </c>
    </row>
    <row r="1422" spans="1:12" x14ac:dyDescent="0.25">
      <c r="A1422" s="1" t="s">
        <v>1454</v>
      </c>
      <c r="B1422" s="1" t="s">
        <v>16</v>
      </c>
      <c r="C1422">
        <v>110</v>
      </c>
      <c r="D1422" s="1" t="s">
        <v>25</v>
      </c>
      <c r="E1422">
        <v>87087.64</v>
      </c>
      <c r="F1422">
        <v>91428.38</v>
      </c>
      <c r="G1422">
        <v>43</v>
      </c>
      <c r="H1422">
        <v>37</v>
      </c>
      <c r="I1422">
        <v>24876.25</v>
      </c>
      <c r="J1422">
        <v>3182.12</v>
      </c>
      <c r="K1422">
        <v>0</v>
      </c>
      <c r="L1422">
        <v>2025</v>
      </c>
    </row>
    <row r="1423" spans="1:12" x14ac:dyDescent="0.25">
      <c r="A1423" s="1" t="s">
        <v>1455</v>
      </c>
      <c r="B1423" s="1" t="s">
        <v>16</v>
      </c>
      <c r="C1423">
        <v>41</v>
      </c>
      <c r="D1423" s="1" t="s">
        <v>25</v>
      </c>
      <c r="E1423">
        <v>35053.69</v>
      </c>
      <c r="F1423">
        <v>34449.550000000003</v>
      </c>
      <c r="G1423">
        <v>54</v>
      </c>
      <c r="H1423">
        <v>60</v>
      </c>
      <c r="I1423">
        <v>35425.35</v>
      </c>
      <c r="J1423">
        <v>3005.5</v>
      </c>
      <c r="K1423">
        <v>0</v>
      </c>
      <c r="L1423">
        <v>2025</v>
      </c>
    </row>
    <row r="1424" spans="1:12" x14ac:dyDescent="0.25">
      <c r="A1424" s="1" t="s">
        <v>1456</v>
      </c>
      <c r="B1424" s="1" t="s">
        <v>18</v>
      </c>
      <c r="C1424">
        <v>83</v>
      </c>
      <c r="D1424" s="1" t="s">
        <v>25</v>
      </c>
      <c r="E1424">
        <v>72341.19</v>
      </c>
      <c r="F1424">
        <v>43863.38</v>
      </c>
      <c r="G1424">
        <v>46</v>
      </c>
      <c r="H1424">
        <v>0</v>
      </c>
      <c r="I1424">
        <v>10689.76</v>
      </c>
      <c r="J1424">
        <v>1900.05</v>
      </c>
      <c r="K1424">
        <v>0</v>
      </c>
      <c r="L1424">
        <v>2025</v>
      </c>
    </row>
    <row r="1425" spans="1:12" x14ac:dyDescent="0.25">
      <c r="A1425" s="1" t="s">
        <v>1457</v>
      </c>
      <c r="B1425" s="1" t="s">
        <v>15</v>
      </c>
      <c r="C1425">
        <v>101</v>
      </c>
      <c r="D1425" s="1" t="s">
        <v>25</v>
      </c>
      <c r="E1425">
        <v>75402.41</v>
      </c>
      <c r="F1425">
        <v>48759.08</v>
      </c>
      <c r="G1425">
        <v>41</v>
      </c>
      <c r="H1425">
        <v>37</v>
      </c>
      <c r="I1425">
        <v>85613.92</v>
      </c>
      <c r="J1425">
        <v>3839.1</v>
      </c>
      <c r="K1425">
        <v>0</v>
      </c>
      <c r="L1425">
        <v>2025</v>
      </c>
    </row>
    <row r="1426" spans="1:12" x14ac:dyDescent="0.25">
      <c r="A1426" s="1" t="s">
        <v>1458</v>
      </c>
      <c r="B1426" s="1" t="s">
        <v>12</v>
      </c>
      <c r="C1426">
        <v>77</v>
      </c>
      <c r="D1426" s="1" t="s">
        <v>25</v>
      </c>
      <c r="E1426">
        <v>65051.72</v>
      </c>
      <c r="F1426">
        <v>55881.06</v>
      </c>
      <c r="G1426">
        <v>47</v>
      </c>
      <c r="H1426">
        <v>0</v>
      </c>
      <c r="I1426">
        <v>50269.26</v>
      </c>
      <c r="J1426">
        <v>870.8</v>
      </c>
      <c r="K1426">
        <v>0</v>
      </c>
      <c r="L1426">
        <v>2025</v>
      </c>
    </row>
    <row r="1427" spans="1:12" x14ac:dyDescent="0.25">
      <c r="A1427" s="1" t="s">
        <v>1459</v>
      </c>
      <c r="B1427" s="1" t="s">
        <v>17</v>
      </c>
      <c r="C1427">
        <v>93</v>
      </c>
      <c r="D1427" s="1" t="s">
        <v>25</v>
      </c>
      <c r="E1427">
        <v>67413.789999999994</v>
      </c>
      <c r="F1427">
        <v>62632.45</v>
      </c>
      <c r="G1427">
        <v>59</v>
      </c>
      <c r="H1427">
        <v>31</v>
      </c>
      <c r="I1427">
        <v>22084.21</v>
      </c>
      <c r="J1427">
        <v>5247.05</v>
      </c>
      <c r="K1427">
        <v>0</v>
      </c>
      <c r="L1427">
        <v>2025</v>
      </c>
    </row>
    <row r="1428" spans="1:12" x14ac:dyDescent="0.25">
      <c r="A1428" s="1" t="s">
        <v>1460</v>
      </c>
      <c r="B1428" s="1" t="s">
        <v>16</v>
      </c>
      <c r="C1428">
        <v>43</v>
      </c>
      <c r="D1428" s="1" t="s">
        <v>25</v>
      </c>
      <c r="E1428">
        <v>36987.24</v>
      </c>
      <c r="F1428">
        <v>34705.089999999997</v>
      </c>
      <c r="G1428">
        <v>43</v>
      </c>
      <c r="H1428">
        <v>43</v>
      </c>
      <c r="I1428">
        <v>27767.759999999998</v>
      </c>
      <c r="J1428">
        <v>3439.93</v>
      </c>
      <c r="K1428">
        <v>0</v>
      </c>
      <c r="L1428">
        <v>2025</v>
      </c>
    </row>
    <row r="1429" spans="1:12" x14ac:dyDescent="0.25">
      <c r="A1429" s="1" t="s">
        <v>1461</v>
      </c>
      <c r="B1429" s="1" t="s">
        <v>16</v>
      </c>
      <c r="C1429">
        <v>66</v>
      </c>
      <c r="D1429" s="1" t="s">
        <v>25</v>
      </c>
      <c r="E1429">
        <v>55951.64</v>
      </c>
      <c r="F1429">
        <v>56817.93</v>
      </c>
      <c r="G1429">
        <v>68</v>
      </c>
      <c r="H1429">
        <v>15</v>
      </c>
      <c r="I1429">
        <v>37911.99</v>
      </c>
      <c r="J1429">
        <v>0</v>
      </c>
      <c r="K1429">
        <v>0</v>
      </c>
      <c r="L1429">
        <v>2025</v>
      </c>
    </row>
    <row r="1430" spans="1:12" x14ac:dyDescent="0.25">
      <c r="A1430" s="1" t="s">
        <v>1462</v>
      </c>
      <c r="B1430" s="1" t="s">
        <v>12</v>
      </c>
      <c r="C1430">
        <v>30</v>
      </c>
      <c r="D1430" s="1" t="s">
        <v>25</v>
      </c>
      <c r="E1430">
        <v>49633.9</v>
      </c>
      <c r="F1430">
        <v>42590.75</v>
      </c>
      <c r="G1430">
        <v>60</v>
      </c>
      <c r="H1430">
        <v>17</v>
      </c>
      <c r="I1430">
        <v>34189.99</v>
      </c>
      <c r="J1430">
        <v>8631.7000000000007</v>
      </c>
      <c r="K1430">
        <v>0</v>
      </c>
      <c r="L1430">
        <v>2025</v>
      </c>
    </row>
    <row r="1431" spans="1:12" x14ac:dyDescent="0.25">
      <c r="A1431" s="1" t="s">
        <v>1463</v>
      </c>
      <c r="B1431" s="1" t="s">
        <v>14</v>
      </c>
      <c r="C1431">
        <v>8</v>
      </c>
      <c r="D1431" s="1" t="s">
        <v>25</v>
      </c>
      <c r="E1431">
        <v>12086.05</v>
      </c>
      <c r="F1431">
        <v>10594.11</v>
      </c>
      <c r="G1431">
        <v>38</v>
      </c>
      <c r="H1431">
        <v>36</v>
      </c>
      <c r="I1431">
        <v>47252.87</v>
      </c>
      <c r="J1431">
        <v>0</v>
      </c>
      <c r="K1431">
        <v>0</v>
      </c>
      <c r="L1431">
        <v>2025</v>
      </c>
    </row>
    <row r="1432" spans="1:12" x14ac:dyDescent="0.25">
      <c r="A1432" s="1" t="s">
        <v>1464</v>
      </c>
      <c r="B1432" s="1" t="s">
        <v>12</v>
      </c>
      <c r="C1432">
        <v>82</v>
      </c>
      <c r="D1432" s="1" t="s">
        <v>25</v>
      </c>
      <c r="E1432">
        <v>77970.36</v>
      </c>
      <c r="F1432">
        <v>57902.42</v>
      </c>
      <c r="G1432">
        <v>59</v>
      </c>
      <c r="H1432">
        <v>20</v>
      </c>
      <c r="I1432">
        <v>29173.16</v>
      </c>
      <c r="J1432">
        <v>4248.53</v>
      </c>
      <c r="K1432">
        <v>0</v>
      </c>
      <c r="L1432">
        <v>2025</v>
      </c>
    </row>
    <row r="1433" spans="1:12" x14ac:dyDescent="0.25">
      <c r="A1433" s="1" t="s">
        <v>1465</v>
      </c>
      <c r="B1433" s="1" t="s">
        <v>15</v>
      </c>
      <c r="C1433">
        <v>17</v>
      </c>
      <c r="D1433" s="1" t="s">
        <v>25</v>
      </c>
      <c r="E1433">
        <v>34017.800000000003</v>
      </c>
      <c r="F1433">
        <v>26970.78</v>
      </c>
      <c r="G1433">
        <v>64</v>
      </c>
      <c r="H1433">
        <v>40</v>
      </c>
      <c r="I1433">
        <v>17850.59</v>
      </c>
      <c r="J1433">
        <v>0</v>
      </c>
      <c r="K1433">
        <v>0</v>
      </c>
      <c r="L1433">
        <v>2025</v>
      </c>
    </row>
    <row r="1434" spans="1:12" x14ac:dyDescent="0.25">
      <c r="A1434" s="1" t="s">
        <v>1466</v>
      </c>
      <c r="B1434" s="1" t="s">
        <v>12</v>
      </c>
      <c r="C1434">
        <v>108</v>
      </c>
      <c r="D1434" s="1" t="s">
        <v>25</v>
      </c>
      <c r="E1434">
        <v>97552.62</v>
      </c>
      <c r="F1434">
        <v>67313.56</v>
      </c>
      <c r="G1434">
        <v>30</v>
      </c>
      <c r="H1434">
        <v>44</v>
      </c>
      <c r="I1434">
        <v>65742.38</v>
      </c>
      <c r="J1434">
        <v>0</v>
      </c>
      <c r="K1434">
        <v>0</v>
      </c>
      <c r="L1434">
        <v>2025</v>
      </c>
    </row>
    <row r="1435" spans="1:12" x14ac:dyDescent="0.25">
      <c r="A1435" s="1" t="s">
        <v>1467</v>
      </c>
      <c r="B1435" s="1" t="s">
        <v>12</v>
      </c>
      <c r="C1435">
        <v>16</v>
      </c>
      <c r="D1435" s="1" t="s">
        <v>25</v>
      </c>
      <c r="E1435">
        <v>29988.09</v>
      </c>
      <c r="F1435">
        <v>18689.82</v>
      </c>
      <c r="G1435">
        <v>19</v>
      </c>
      <c r="H1435">
        <v>32</v>
      </c>
      <c r="I1435">
        <v>39554.93</v>
      </c>
      <c r="J1435">
        <v>17338.009999999998</v>
      </c>
      <c r="K1435">
        <v>1</v>
      </c>
      <c r="L1435">
        <v>2025</v>
      </c>
    </row>
    <row r="1436" spans="1:12" x14ac:dyDescent="0.25">
      <c r="A1436" s="1" t="s">
        <v>1468</v>
      </c>
      <c r="B1436" s="1" t="s">
        <v>18</v>
      </c>
      <c r="C1436">
        <v>8</v>
      </c>
      <c r="D1436" s="1" t="s">
        <v>25</v>
      </c>
      <c r="E1436">
        <v>6644.12</v>
      </c>
      <c r="F1436">
        <v>5293.09</v>
      </c>
      <c r="G1436">
        <v>44</v>
      </c>
      <c r="H1436">
        <v>15</v>
      </c>
      <c r="I1436">
        <v>62208.76</v>
      </c>
      <c r="J1436">
        <v>4086.68</v>
      </c>
      <c r="K1436">
        <v>0</v>
      </c>
      <c r="L1436">
        <v>2025</v>
      </c>
    </row>
    <row r="1437" spans="1:12" x14ac:dyDescent="0.25">
      <c r="A1437" s="1" t="s">
        <v>1469</v>
      </c>
      <c r="B1437" s="1" t="s">
        <v>15</v>
      </c>
      <c r="C1437">
        <v>38</v>
      </c>
      <c r="D1437" s="1" t="s">
        <v>25</v>
      </c>
      <c r="E1437">
        <v>32258</v>
      </c>
      <c r="F1437">
        <v>24514.42</v>
      </c>
      <c r="G1437">
        <v>48</v>
      </c>
      <c r="H1437">
        <v>22</v>
      </c>
      <c r="I1437">
        <v>0</v>
      </c>
      <c r="J1437">
        <v>5926.51</v>
      </c>
      <c r="K1437">
        <v>1</v>
      </c>
      <c r="L1437">
        <v>2025</v>
      </c>
    </row>
    <row r="1438" spans="1:12" x14ac:dyDescent="0.25">
      <c r="A1438" s="1" t="s">
        <v>1470</v>
      </c>
      <c r="B1438" s="1" t="s">
        <v>16</v>
      </c>
      <c r="C1438">
        <v>114</v>
      </c>
      <c r="D1438" s="1" t="s">
        <v>25</v>
      </c>
      <c r="E1438">
        <v>99742.99</v>
      </c>
      <c r="F1438">
        <v>71929.02</v>
      </c>
      <c r="G1438">
        <v>41</v>
      </c>
      <c r="H1438">
        <v>64</v>
      </c>
      <c r="I1438">
        <v>0</v>
      </c>
      <c r="J1438">
        <v>6046.8</v>
      </c>
      <c r="K1438">
        <v>0</v>
      </c>
      <c r="L1438">
        <v>2025</v>
      </c>
    </row>
    <row r="1439" spans="1:12" x14ac:dyDescent="0.25">
      <c r="A1439" s="1" t="s">
        <v>1471</v>
      </c>
      <c r="B1439" s="1" t="s">
        <v>17</v>
      </c>
      <c r="C1439">
        <v>48</v>
      </c>
      <c r="D1439" s="1" t="s">
        <v>25</v>
      </c>
      <c r="E1439">
        <v>49712.33</v>
      </c>
      <c r="F1439">
        <v>30403.35</v>
      </c>
      <c r="G1439">
        <v>54</v>
      </c>
      <c r="H1439">
        <v>77</v>
      </c>
      <c r="I1439">
        <v>41191.980000000003</v>
      </c>
      <c r="J1439">
        <v>0</v>
      </c>
      <c r="K1439">
        <v>0</v>
      </c>
      <c r="L1439">
        <v>2025</v>
      </c>
    </row>
    <row r="1440" spans="1:12" x14ac:dyDescent="0.25">
      <c r="A1440" s="1" t="s">
        <v>1472</v>
      </c>
      <c r="B1440" s="1" t="s">
        <v>18</v>
      </c>
      <c r="C1440">
        <v>30</v>
      </c>
      <c r="D1440" s="1" t="s">
        <v>25</v>
      </c>
      <c r="E1440">
        <v>35792.81</v>
      </c>
      <c r="F1440">
        <v>24840.3</v>
      </c>
      <c r="G1440">
        <v>43</v>
      </c>
      <c r="H1440">
        <v>19</v>
      </c>
      <c r="I1440">
        <v>43383.35</v>
      </c>
      <c r="J1440">
        <v>0</v>
      </c>
      <c r="K1440">
        <v>0</v>
      </c>
      <c r="L1440">
        <v>2025</v>
      </c>
    </row>
    <row r="1441" spans="1:12" x14ac:dyDescent="0.25">
      <c r="A1441" s="1" t="s">
        <v>1473</v>
      </c>
      <c r="B1441" s="1" t="s">
        <v>17</v>
      </c>
      <c r="C1441">
        <v>55</v>
      </c>
      <c r="D1441" s="1" t="s">
        <v>25</v>
      </c>
      <c r="E1441">
        <v>46808.29</v>
      </c>
      <c r="F1441">
        <v>47543.63</v>
      </c>
      <c r="G1441">
        <v>13</v>
      </c>
      <c r="H1441">
        <v>26</v>
      </c>
      <c r="I1441">
        <v>64138.3</v>
      </c>
      <c r="J1441">
        <v>8.5</v>
      </c>
      <c r="K1441">
        <v>0</v>
      </c>
      <c r="L1441">
        <v>2025</v>
      </c>
    </row>
    <row r="1442" spans="1:12" x14ac:dyDescent="0.25">
      <c r="A1442" s="1" t="s">
        <v>1474</v>
      </c>
      <c r="B1442" s="1" t="s">
        <v>16</v>
      </c>
      <c r="C1442">
        <v>69</v>
      </c>
      <c r="D1442" s="1" t="s">
        <v>25</v>
      </c>
      <c r="E1442">
        <v>75032.25</v>
      </c>
      <c r="F1442">
        <v>61398.720000000001</v>
      </c>
      <c r="G1442">
        <v>45</v>
      </c>
      <c r="H1442">
        <v>67</v>
      </c>
      <c r="I1442">
        <v>45135.11</v>
      </c>
      <c r="J1442">
        <v>6058.41</v>
      </c>
      <c r="K1442">
        <v>1</v>
      </c>
      <c r="L1442">
        <v>2025</v>
      </c>
    </row>
    <row r="1443" spans="1:12" x14ac:dyDescent="0.25">
      <c r="A1443" s="1" t="s">
        <v>1475</v>
      </c>
      <c r="B1443" s="1" t="s">
        <v>16</v>
      </c>
      <c r="C1443">
        <v>37</v>
      </c>
      <c r="D1443" s="1" t="s">
        <v>25</v>
      </c>
      <c r="E1443">
        <v>27275.67</v>
      </c>
      <c r="F1443">
        <v>26639.79</v>
      </c>
      <c r="G1443">
        <v>35</v>
      </c>
      <c r="H1443">
        <v>21</v>
      </c>
      <c r="I1443">
        <v>50058.91</v>
      </c>
      <c r="J1443">
        <v>0</v>
      </c>
      <c r="K1443">
        <v>0</v>
      </c>
      <c r="L1443">
        <v>2025</v>
      </c>
    </row>
    <row r="1444" spans="1:12" x14ac:dyDescent="0.25">
      <c r="A1444" s="1" t="s">
        <v>1476</v>
      </c>
      <c r="B1444" s="1" t="s">
        <v>17</v>
      </c>
      <c r="C1444">
        <v>79</v>
      </c>
      <c r="D1444" s="1" t="s">
        <v>25</v>
      </c>
      <c r="E1444">
        <v>55852.9</v>
      </c>
      <c r="F1444">
        <v>55989.85</v>
      </c>
      <c r="G1444">
        <v>54</v>
      </c>
      <c r="H1444">
        <v>5</v>
      </c>
      <c r="I1444">
        <v>31747.84</v>
      </c>
      <c r="J1444">
        <v>3300.01</v>
      </c>
      <c r="K1444">
        <v>0</v>
      </c>
      <c r="L1444">
        <v>2025</v>
      </c>
    </row>
    <row r="1445" spans="1:12" x14ac:dyDescent="0.25">
      <c r="A1445" s="1" t="s">
        <v>1477</v>
      </c>
      <c r="B1445" s="1" t="s">
        <v>14</v>
      </c>
      <c r="C1445">
        <v>72</v>
      </c>
      <c r="D1445" s="1" t="s">
        <v>28</v>
      </c>
      <c r="E1445">
        <v>65683.08</v>
      </c>
      <c r="F1445">
        <v>51336.82</v>
      </c>
      <c r="G1445">
        <v>33</v>
      </c>
      <c r="H1445">
        <v>18</v>
      </c>
      <c r="I1445">
        <v>6095.58</v>
      </c>
      <c r="J1445">
        <v>0</v>
      </c>
      <c r="K1445">
        <v>0</v>
      </c>
      <c r="L1445">
        <v>2025</v>
      </c>
    </row>
    <row r="1446" spans="1:12" x14ac:dyDescent="0.25">
      <c r="A1446" s="1" t="s">
        <v>1478</v>
      </c>
      <c r="B1446" s="1" t="s">
        <v>16</v>
      </c>
      <c r="C1446">
        <v>116</v>
      </c>
      <c r="D1446" s="1" t="s">
        <v>28</v>
      </c>
      <c r="E1446">
        <v>73166.7</v>
      </c>
      <c r="F1446">
        <v>47583.5</v>
      </c>
      <c r="G1446">
        <v>10</v>
      </c>
      <c r="H1446">
        <v>32</v>
      </c>
      <c r="I1446">
        <v>35554.800000000003</v>
      </c>
      <c r="J1446">
        <v>5950.99</v>
      </c>
      <c r="K1446">
        <v>0</v>
      </c>
      <c r="L1446">
        <v>2025</v>
      </c>
    </row>
    <row r="1447" spans="1:12" x14ac:dyDescent="0.25">
      <c r="A1447" s="1" t="s">
        <v>1479</v>
      </c>
      <c r="B1447" s="1" t="s">
        <v>15</v>
      </c>
      <c r="C1447">
        <v>56</v>
      </c>
      <c r="D1447" s="1" t="s">
        <v>28</v>
      </c>
      <c r="E1447">
        <v>43020.06</v>
      </c>
      <c r="F1447">
        <v>33060.620000000003</v>
      </c>
      <c r="G1447">
        <v>17</v>
      </c>
      <c r="H1447">
        <v>29</v>
      </c>
      <c r="I1447">
        <v>86743.17</v>
      </c>
      <c r="J1447">
        <v>6373.19</v>
      </c>
      <c r="K1447">
        <v>0</v>
      </c>
      <c r="L1447">
        <v>2025</v>
      </c>
    </row>
    <row r="1448" spans="1:12" x14ac:dyDescent="0.25">
      <c r="A1448" s="1" t="s">
        <v>1480</v>
      </c>
      <c r="B1448" s="1" t="s">
        <v>16</v>
      </c>
      <c r="C1448">
        <v>106</v>
      </c>
      <c r="D1448" s="1" t="s">
        <v>28</v>
      </c>
      <c r="E1448">
        <v>87493.05</v>
      </c>
      <c r="F1448">
        <v>52920.02</v>
      </c>
      <c r="G1448">
        <v>36</v>
      </c>
      <c r="H1448">
        <v>40</v>
      </c>
      <c r="I1448">
        <v>63956.46</v>
      </c>
      <c r="J1448">
        <v>3750.35</v>
      </c>
      <c r="K1448">
        <v>0</v>
      </c>
      <c r="L1448">
        <v>2025</v>
      </c>
    </row>
    <row r="1449" spans="1:12" x14ac:dyDescent="0.25">
      <c r="A1449" s="1" t="s">
        <v>1481</v>
      </c>
      <c r="B1449" s="1" t="s">
        <v>12</v>
      </c>
      <c r="C1449">
        <v>50</v>
      </c>
      <c r="D1449" s="1" t="s">
        <v>28</v>
      </c>
      <c r="E1449">
        <v>62802.720000000001</v>
      </c>
      <c r="F1449">
        <v>47463.9</v>
      </c>
      <c r="G1449">
        <v>31</v>
      </c>
      <c r="H1449">
        <v>25</v>
      </c>
      <c r="I1449">
        <v>74293.97</v>
      </c>
      <c r="J1449">
        <v>7779.37</v>
      </c>
      <c r="K1449">
        <v>0</v>
      </c>
      <c r="L1449">
        <v>2025</v>
      </c>
    </row>
    <row r="1450" spans="1:12" x14ac:dyDescent="0.25">
      <c r="A1450" s="1" t="s">
        <v>1482</v>
      </c>
      <c r="B1450" s="1" t="s">
        <v>17</v>
      </c>
      <c r="C1450">
        <v>111</v>
      </c>
      <c r="D1450" s="1" t="s">
        <v>28</v>
      </c>
      <c r="E1450">
        <v>85387.92</v>
      </c>
      <c r="F1450">
        <v>71355.399999999994</v>
      </c>
      <c r="G1450">
        <v>36</v>
      </c>
      <c r="H1450">
        <v>57</v>
      </c>
      <c r="I1450">
        <v>49186.559999999998</v>
      </c>
      <c r="J1450">
        <v>5549.68</v>
      </c>
      <c r="K1450">
        <v>0</v>
      </c>
      <c r="L1450">
        <v>2025</v>
      </c>
    </row>
    <row r="1451" spans="1:12" x14ac:dyDescent="0.25">
      <c r="A1451" s="1" t="s">
        <v>1483</v>
      </c>
      <c r="B1451" s="1" t="s">
        <v>14</v>
      </c>
      <c r="C1451">
        <v>71</v>
      </c>
      <c r="D1451" s="1" t="s">
        <v>28</v>
      </c>
      <c r="E1451">
        <v>64993</v>
      </c>
      <c r="F1451">
        <v>45570.89</v>
      </c>
      <c r="G1451">
        <v>44</v>
      </c>
      <c r="H1451">
        <v>0</v>
      </c>
      <c r="I1451">
        <v>53985.5</v>
      </c>
      <c r="J1451">
        <v>0</v>
      </c>
      <c r="K1451">
        <v>0</v>
      </c>
      <c r="L1451">
        <v>2025</v>
      </c>
    </row>
    <row r="1452" spans="1:12" x14ac:dyDescent="0.25">
      <c r="A1452" s="1" t="s">
        <v>1484</v>
      </c>
      <c r="B1452" s="1" t="s">
        <v>18</v>
      </c>
      <c r="C1452">
        <v>21</v>
      </c>
      <c r="D1452" s="1" t="s">
        <v>28</v>
      </c>
      <c r="E1452">
        <v>28728.71</v>
      </c>
      <c r="F1452">
        <v>28916.01</v>
      </c>
      <c r="G1452">
        <v>26</v>
      </c>
      <c r="H1452">
        <v>22</v>
      </c>
      <c r="I1452">
        <v>38949.279999999999</v>
      </c>
      <c r="J1452">
        <v>226.57</v>
      </c>
      <c r="K1452">
        <v>0</v>
      </c>
      <c r="L1452">
        <v>2025</v>
      </c>
    </row>
    <row r="1453" spans="1:12" x14ac:dyDescent="0.25">
      <c r="A1453" s="1" t="s">
        <v>1485</v>
      </c>
      <c r="B1453" s="1" t="s">
        <v>18</v>
      </c>
      <c r="C1453">
        <v>20</v>
      </c>
      <c r="D1453" s="1" t="s">
        <v>28</v>
      </c>
      <c r="E1453">
        <v>6443.16</v>
      </c>
      <c r="F1453">
        <v>5072.8999999999996</v>
      </c>
      <c r="G1453">
        <v>58</v>
      </c>
      <c r="H1453">
        <v>17</v>
      </c>
      <c r="I1453">
        <v>43188.82</v>
      </c>
      <c r="J1453">
        <v>9433.36</v>
      </c>
      <c r="K1453">
        <v>0</v>
      </c>
      <c r="L1453">
        <v>2025</v>
      </c>
    </row>
    <row r="1454" spans="1:12" x14ac:dyDescent="0.25">
      <c r="A1454" s="1" t="s">
        <v>1486</v>
      </c>
      <c r="B1454" s="1" t="s">
        <v>16</v>
      </c>
      <c r="C1454">
        <v>59</v>
      </c>
      <c r="D1454" s="1" t="s">
        <v>28</v>
      </c>
      <c r="E1454">
        <v>63350.69</v>
      </c>
      <c r="F1454">
        <v>51352.89</v>
      </c>
      <c r="G1454">
        <v>65</v>
      </c>
      <c r="H1454">
        <v>42</v>
      </c>
      <c r="I1454">
        <v>34476.36</v>
      </c>
      <c r="J1454">
        <v>0</v>
      </c>
      <c r="K1454">
        <v>0</v>
      </c>
      <c r="L1454">
        <v>2025</v>
      </c>
    </row>
    <row r="1455" spans="1:12" x14ac:dyDescent="0.25">
      <c r="A1455" s="1" t="s">
        <v>1487</v>
      </c>
      <c r="B1455" s="1" t="s">
        <v>15</v>
      </c>
      <c r="C1455">
        <v>3</v>
      </c>
      <c r="D1455" s="1" t="s">
        <v>28</v>
      </c>
      <c r="E1455">
        <v>5736.9</v>
      </c>
      <c r="F1455">
        <v>3935.32</v>
      </c>
      <c r="G1455">
        <v>18</v>
      </c>
      <c r="H1455">
        <v>38</v>
      </c>
      <c r="I1455">
        <v>12077.12</v>
      </c>
      <c r="J1455">
        <v>0</v>
      </c>
      <c r="K1455">
        <v>0</v>
      </c>
      <c r="L1455">
        <v>2025</v>
      </c>
    </row>
    <row r="1456" spans="1:12" x14ac:dyDescent="0.25">
      <c r="A1456" s="1" t="s">
        <v>1488</v>
      </c>
      <c r="B1456" s="1" t="s">
        <v>12</v>
      </c>
      <c r="C1456">
        <v>101</v>
      </c>
      <c r="D1456" s="1" t="s">
        <v>28</v>
      </c>
      <c r="E1456">
        <v>103014.92</v>
      </c>
      <c r="F1456">
        <v>74300.91</v>
      </c>
      <c r="G1456">
        <v>58</v>
      </c>
      <c r="H1456">
        <v>42</v>
      </c>
      <c r="I1456">
        <v>47693.17</v>
      </c>
      <c r="J1456">
        <v>7723.11</v>
      </c>
      <c r="K1456">
        <v>0</v>
      </c>
      <c r="L1456">
        <v>2025</v>
      </c>
    </row>
    <row r="1457" spans="1:12" x14ac:dyDescent="0.25">
      <c r="A1457" s="1" t="s">
        <v>1489</v>
      </c>
      <c r="B1457" s="1" t="s">
        <v>15</v>
      </c>
      <c r="C1457">
        <v>30</v>
      </c>
      <c r="D1457" s="1" t="s">
        <v>28</v>
      </c>
      <c r="E1457">
        <v>41245.01</v>
      </c>
      <c r="F1457">
        <v>27403.97</v>
      </c>
      <c r="G1457">
        <v>41</v>
      </c>
      <c r="H1457">
        <v>15</v>
      </c>
      <c r="I1457">
        <v>45933.15</v>
      </c>
      <c r="J1457">
        <v>0</v>
      </c>
      <c r="K1457">
        <v>0</v>
      </c>
      <c r="L1457">
        <v>2025</v>
      </c>
    </row>
    <row r="1458" spans="1:12" x14ac:dyDescent="0.25">
      <c r="A1458" s="1" t="s">
        <v>1490</v>
      </c>
      <c r="B1458" s="1" t="s">
        <v>12</v>
      </c>
      <c r="C1458">
        <v>96</v>
      </c>
      <c r="D1458" s="1" t="s">
        <v>28</v>
      </c>
      <c r="E1458">
        <v>84355.85</v>
      </c>
      <c r="F1458">
        <v>57030.52</v>
      </c>
      <c r="G1458">
        <v>21</v>
      </c>
      <c r="H1458">
        <v>24</v>
      </c>
      <c r="I1458">
        <v>0</v>
      </c>
      <c r="J1458">
        <v>3910.4</v>
      </c>
      <c r="K1458">
        <v>0</v>
      </c>
      <c r="L1458">
        <v>2025</v>
      </c>
    </row>
    <row r="1459" spans="1:12" x14ac:dyDescent="0.25">
      <c r="A1459" s="1" t="s">
        <v>1491</v>
      </c>
      <c r="B1459" s="1" t="s">
        <v>18</v>
      </c>
      <c r="C1459">
        <v>85</v>
      </c>
      <c r="D1459" s="1" t="s">
        <v>28</v>
      </c>
      <c r="E1459">
        <v>72244.03</v>
      </c>
      <c r="F1459">
        <v>49792.43</v>
      </c>
      <c r="G1459">
        <v>48</v>
      </c>
      <c r="H1459">
        <v>38</v>
      </c>
      <c r="I1459">
        <v>67398.539999999994</v>
      </c>
      <c r="J1459">
        <v>6549.92</v>
      </c>
      <c r="K1459">
        <v>1</v>
      </c>
      <c r="L1459">
        <v>2025</v>
      </c>
    </row>
    <row r="1460" spans="1:12" x14ac:dyDescent="0.25">
      <c r="A1460" s="1" t="s">
        <v>1492</v>
      </c>
      <c r="B1460" s="1" t="s">
        <v>17</v>
      </c>
      <c r="C1460">
        <v>98</v>
      </c>
      <c r="D1460" s="1" t="s">
        <v>28</v>
      </c>
      <c r="E1460">
        <v>87933.31</v>
      </c>
      <c r="F1460">
        <v>92878.2</v>
      </c>
      <c r="G1460">
        <v>61</v>
      </c>
      <c r="H1460">
        <v>1</v>
      </c>
      <c r="I1460">
        <v>64371.07</v>
      </c>
      <c r="J1460">
        <v>2294.4899999999998</v>
      </c>
      <c r="K1460">
        <v>0</v>
      </c>
      <c r="L1460">
        <v>2025</v>
      </c>
    </row>
    <row r="1461" spans="1:12" x14ac:dyDescent="0.25">
      <c r="A1461" s="1" t="s">
        <v>1493</v>
      </c>
      <c r="B1461" s="1" t="s">
        <v>14</v>
      </c>
      <c r="C1461">
        <v>89</v>
      </c>
      <c r="D1461" s="1" t="s">
        <v>28</v>
      </c>
      <c r="E1461">
        <v>77569.929999999993</v>
      </c>
      <c r="F1461">
        <v>66539.820000000007</v>
      </c>
      <c r="G1461">
        <v>57</v>
      </c>
      <c r="H1461">
        <v>8</v>
      </c>
      <c r="I1461">
        <v>36477.49</v>
      </c>
      <c r="J1461">
        <v>6391.08</v>
      </c>
      <c r="K1461">
        <v>1</v>
      </c>
      <c r="L1461">
        <v>2025</v>
      </c>
    </row>
    <row r="1462" spans="1:12" x14ac:dyDescent="0.25">
      <c r="A1462" s="1" t="s">
        <v>1494</v>
      </c>
      <c r="B1462" s="1" t="s">
        <v>18</v>
      </c>
      <c r="C1462">
        <v>53</v>
      </c>
      <c r="D1462" s="1" t="s">
        <v>28</v>
      </c>
      <c r="E1462">
        <v>25349.29</v>
      </c>
      <c r="F1462">
        <v>16837.57</v>
      </c>
      <c r="G1462">
        <v>46</v>
      </c>
      <c r="H1462">
        <v>32</v>
      </c>
      <c r="I1462">
        <v>16154.93</v>
      </c>
      <c r="J1462">
        <v>3658.04</v>
      </c>
      <c r="K1462">
        <v>0</v>
      </c>
      <c r="L1462">
        <v>2025</v>
      </c>
    </row>
    <row r="1463" spans="1:12" x14ac:dyDescent="0.25">
      <c r="A1463" s="1" t="s">
        <v>1495</v>
      </c>
      <c r="B1463" s="1" t="s">
        <v>14</v>
      </c>
      <c r="C1463">
        <v>65</v>
      </c>
      <c r="D1463" s="1" t="s">
        <v>28</v>
      </c>
      <c r="E1463">
        <v>44871.56</v>
      </c>
      <c r="F1463">
        <v>33626.199999999997</v>
      </c>
      <c r="G1463">
        <v>42</v>
      </c>
      <c r="H1463">
        <v>47</v>
      </c>
      <c r="I1463">
        <v>36451.61</v>
      </c>
      <c r="J1463">
        <v>0</v>
      </c>
      <c r="K1463">
        <v>1</v>
      </c>
      <c r="L1463">
        <v>2025</v>
      </c>
    </row>
    <row r="1464" spans="1:12" x14ac:dyDescent="0.25">
      <c r="A1464" s="1" t="s">
        <v>1496</v>
      </c>
      <c r="B1464" s="1" t="s">
        <v>18</v>
      </c>
      <c r="C1464">
        <v>109</v>
      </c>
      <c r="D1464" s="1" t="s">
        <v>28</v>
      </c>
      <c r="E1464">
        <v>80736.210000000006</v>
      </c>
      <c r="F1464">
        <v>60170.96</v>
      </c>
      <c r="G1464">
        <v>44</v>
      </c>
      <c r="H1464">
        <v>22</v>
      </c>
      <c r="I1464">
        <v>22611.86</v>
      </c>
      <c r="J1464">
        <v>0</v>
      </c>
      <c r="K1464">
        <v>1</v>
      </c>
      <c r="L1464">
        <v>2025</v>
      </c>
    </row>
    <row r="1465" spans="1:12" x14ac:dyDescent="0.25">
      <c r="A1465" s="1" t="s">
        <v>1497</v>
      </c>
      <c r="B1465" s="1" t="s">
        <v>15</v>
      </c>
      <c r="C1465">
        <v>101</v>
      </c>
      <c r="D1465" s="1" t="s">
        <v>28</v>
      </c>
      <c r="E1465">
        <v>79864.259999999995</v>
      </c>
      <c r="F1465">
        <v>49900.69</v>
      </c>
      <c r="G1465">
        <v>22</v>
      </c>
      <c r="H1465">
        <v>50</v>
      </c>
      <c r="I1465">
        <v>50385.79</v>
      </c>
      <c r="J1465">
        <v>6079.93</v>
      </c>
      <c r="K1465">
        <v>0</v>
      </c>
      <c r="L1465">
        <v>2025</v>
      </c>
    </row>
    <row r="1466" spans="1:12" x14ac:dyDescent="0.25">
      <c r="A1466" s="1" t="s">
        <v>1498</v>
      </c>
      <c r="B1466" s="1" t="s">
        <v>12</v>
      </c>
      <c r="C1466">
        <v>59</v>
      </c>
      <c r="D1466" s="1" t="s">
        <v>28</v>
      </c>
      <c r="E1466">
        <v>59056.71</v>
      </c>
      <c r="F1466">
        <v>60287.94</v>
      </c>
      <c r="G1466">
        <v>36</v>
      </c>
      <c r="H1466">
        <v>35</v>
      </c>
      <c r="I1466">
        <v>24325.93</v>
      </c>
      <c r="J1466">
        <v>6215.46</v>
      </c>
      <c r="K1466">
        <v>0</v>
      </c>
      <c r="L1466">
        <v>2025</v>
      </c>
    </row>
    <row r="1467" spans="1:12" x14ac:dyDescent="0.25">
      <c r="A1467" s="1" t="s">
        <v>1499</v>
      </c>
      <c r="B1467" s="1" t="s">
        <v>18</v>
      </c>
      <c r="C1467">
        <v>69</v>
      </c>
      <c r="D1467" s="1" t="s">
        <v>28</v>
      </c>
      <c r="E1467">
        <v>73594.880000000005</v>
      </c>
      <c r="F1467">
        <v>74475.97</v>
      </c>
      <c r="G1467">
        <v>32</v>
      </c>
      <c r="H1467">
        <v>58</v>
      </c>
      <c r="I1467">
        <v>64828.47</v>
      </c>
      <c r="J1467">
        <v>7479.08</v>
      </c>
      <c r="K1467">
        <v>0</v>
      </c>
      <c r="L1467">
        <v>2025</v>
      </c>
    </row>
    <row r="1468" spans="1:12" x14ac:dyDescent="0.25">
      <c r="A1468" s="1" t="s">
        <v>1500</v>
      </c>
      <c r="B1468" s="1" t="s">
        <v>17</v>
      </c>
      <c r="C1468">
        <v>62</v>
      </c>
      <c r="D1468" s="1" t="s">
        <v>28</v>
      </c>
      <c r="E1468">
        <v>45119.96</v>
      </c>
      <c r="F1468">
        <v>33286.01</v>
      </c>
      <c r="G1468">
        <v>26</v>
      </c>
      <c r="H1468">
        <v>37</v>
      </c>
      <c r="I1468">
        <v>28325.91</v>
      </c>
      <c r="J1468">
        <v>9489.7099999999991</v>
      </c>
      <c r="K1468">
        <v>0</v>
      </c>
      <c r="L1468">
        <v>2025</v>
      </c>
    </row>
    <row r="1469" spans="1:12" x14ac:dyDescent="0.25">
      <c r="A1469" s="1" t="s">
        <v>1501</v>
      </c>
      <c r="B1469" s="1" t="s">
        <v>12</v>
      </c>
      <c r="C1469">
        <v>114</v>
      </c>
      <c r="D1469" s="1" t="s">
        <v>28</v>
      </c>
      <c r="E1469">
        <v>105006.2</v>
      </c>
      <c r="F1469">
        <v>84688.18</v>
      </c>
      <c r="G1469">
        <v>69</v>
      </c>
      <c r="H1469">
        <v>33</v>
      </c>
      <c r="I1469">
        <v>44553.24</v>
      </c>
      <c r="J1469">
        <v>0</v>
      </c>
      <c r="K1469">
        <v>0</v>
      </c>
      <c r="L1469">
        <v>2025</v>
      </c>
    </row>
    <row r="1470" spans="1:12" x14ac:dyDescent="0.25">
      <c r="A1470" s="1" t="s">
        <v>1502</v>
      </c>
      <c r="B1470" s="1" t="s">
        <v>14</v>
      </c>
      <c r="C1470">
        <v>60</v>
      </c>
      <c r="D1470" s="1" t="s">
        <v>28</v>
      </c>
      <c r="E1470">
        <v>34199.75</v>
      </c>
      <c r="F1470">
        <v>30555.46</v>
      </c>
      <c r="G1470">
        <v>42</v>
      </c>
      <c r="H1470">
        <v>33</v>
      </c>
      <c r="I1470">
        <v>46668.55</v>
      </c>
      <c r="J1470">
        <v>4007.96</v>
      </c>
      <c r="K1470">
        <v>0</v>
      </c>
      <c r="L1470">
        <v>2025</v>
      </c>
    </row>
    <row r="1471" spans="1:12" x14ac:dyDescent="0.25">
      <c r="A1471" s="1" t="s">
        <v>1503</v>
      </c>
      <c r="B1471" s="1" t="s">
        <v>16</v>
      </c>
      <c r="C1471">
        <v>38</v>
      </c>
      <c r="D1471" s="1" t="s">
        <v>28</v>
      </c>
      <c r="E1471">
        <v>22890.15</v>
      </c>
      <c r="F1471">
        <v>22954.32</v>
      </c>
      <c r="G1471">
        <v>19</v>
      </c>
      <c r="H1471">
        <v>47</v>
      </c>
      <c r="I1471">
        <v>45375.41</v>
      </c>
      <c r="J1471">
        <v>3806.34</v>
      </c>
      <c r="K1471">
        <v>0</v>
      </c>
      <c r="L1471">
        <v>2025</v>
      </c>
    </row>
    <row r="1472" spans="1:12" x14ac:dyDescent="0.25">
      <c r="A1472" s="1" t="s">
        <v>1504</v>
      </c>
      <c r="B1472" s="1" t="s">
        <v>14</v>
      </c>
      <c r="C1472">
        <v>104</v>
      </c>
      <c r="D1472" s="1" t="s">
        <v>28</v>
      </c>
      <c r="E1472">
        <v>87633.31</v>
      </c>
      <c r="F1472">
        <v>60904.56</v>
      </c>
      <c r="G1472">
        <v>43</v>
      </c>
      <c r="H1472">
        <v>8</v>
      </c>
      <c r="I1472">
        <v>24197.79</v>
      </c>
      <c r="J1472">
        <v>6916.71</v>
      </c>
      <c r="K1472">
        <v>0</v>
      </c>
      <c r="L1472">
        <v>2025</v>
      </c>
    </row>
    <row r="1473" spans="1:12" x14ac:dyDescent="0.25">
      <c r="A1473" s="1" t="s">
        <v>1505</v>
      </c>
      <c r="B1473" s="1" t="s">
        <v>15</v>
      </c>
      <c r="C1473">
        <v>48</v>
      </c>
      <c r="D1473" s="1" t="s">
        <v>28</v>
      </c>
      <c r="E1473">
        <v>36661.07</v>
      </c>
      <c r="F1473">
        <v>27025.55</v>
      </c>
      <c r="G1473">
        <v>33</v>
      </c>
      <c r="H1473">
        <v>25</v>
      </c>
      <c r="I1473">
        <v>48726.58</v>
      </c>
      <c r="J1473">
        <v>6651.4</v>
      </c>
      <c r="K1473">
        <v>0</v>
      </c>
      <c r="L1473">
        <v>2025</v>
      </c>
    </row>
    <row r="1474" spans="1:12" x14ac:dyDescent="0.25">
      <c r="A1474" s="1" t="s">
        <v>1506</v>
      </c>
      <c r="B1474" s="1" t="s">
        <v>17</v>
      </c>
      <c r="C1474">
        <v>95</v>
      </c>
      <c r="D1474" s="1" t="s">
        <v>28</v>
      </c>
      <c r="E1474">
        <v>84764.3</v>
      </c>
      <c r="F1474">
        <v>68101.94</v>
      </c>
      <c r="G1474">
        <v>62</v>
      </c>
      <c r="H1474">
        <v>18</v>
      </c>
      <c r="I1474">
        <v>24261.02</v>
      </c>
      <c r="J1474">
        <v>2689.02</v>
      </c>
      <c r="K1474">
        <v>0</v>
      </c>
      <c r="L1474">
        <v>2025</v>
      </c>
    </row>
    <row r="1475" spans="1:12" x14ac:dyDescent="0.25">
      <c r="A1475" s="1" t="s">
        <v>1507</v>
      </c>
      <c r="B1475" s="1" t="s">
        <v>15</v>
      </c>
      <c r="C1475">
        <v>13</v>
      </c>
      <c r="D1475" s="1" t="s">
        <v>28</v>
      </c>
      <c r="E1475">
        <v>9423.98</v>
      </c>
      <c r="F1475">
        <v>6119.68</v>
      </c>
      <c r="G1475">
        <v>42</v>
      </c>
      <c r="H1475">
        <v>21</v>
      </c>
      <c r="I1475">
        <v>60991.44</v>
      </c>
      <c r="J1475">
        <v>8290.2900000000009</v>
      </c>
      <c r="K1475">
        <v>0</v>
      </c>
      <c r="L1475">
        <v>2025</v>
      </c>
    </row>
    <row r="1476" spans="1:12" x14ac:dyDescent="0.25">
      <c r="A1476" s="1" t="s">
        <v>1508</v>
      </c>
      <c r="B1476" s="1" t="s">
        <v>18</v>
      </c>
      <c r="C1476">
        <v>19</v>
      </c>
      <c r="D1476" s="1" t="s">
        <v>28</v>
      </c>
      <c r="E1476">
        <v>11065.9</v>
      </c>
      <c r="F1476">
        <v>9261.4500000000007</v>
      </c>
      <c r="G1476">
        <v>26</v>
      </c>
      <c r="H1476">
        <v>34</v>
      </c>
      <c r="I1476">
        <v>34938.269999999997</v>
      </c>
      <c r="J1476">
        <v>4671.63</v>
      </c>
      <c r="K1476">
        <v>0</v>
      </c>
      <c r="L1476">
        <v>2025</v>
      </c>
    </row>
    <row r="1477" spans="1:12" x14ac:dyDescent="0.25">
      <c r="A1477" s="1" t="s">
        <v>1509</v>
      </c>
      <c r="B1477" s="1" t="s">
        <v>16</v>
      </c>
      <c r="C1477">
        <v>87</v>
      </c>
      <c r="D1477" s="1" t="s">
        <v>28</v>
      </c>
      <c r="E1477">
        <v>76210.2</v>
      </c>
      <c r="F1477">
        <v>60290.42</v>
      </c>
      <c r="G1477">
        <v>10</v>
      </c>
      <c r="H1477">
        <v>48</v>
      </c>
      <c r="I1477">
        <v>92474.8</v>
      </c>
      <c r="J1477">
        <v>6800.78</v>
      </c>
      <c r="K1477">
        <v>0</v>
      </c>
      <c r="L1477">
        <v>2025</v>
      </c>
    </row>
    <row r="1478" spans="1:12" x14ac:dyDescent="0.25">
      <c r="A1478" s="1" t="s">
        <v>1510</v>
      </c>
      <c r="B1478" s="1" t="s">
        <v>17</v>
      </c>
      <c r="C1478">
        <v>39</v>
      </c>
      <c r="D1478" s="1" t="s">
        <v>28</v>
      </c>
      <c r="E1478">
        <v>30910.720000000001</v>
      </c>
      <c r="F1478">
        <v>20342.490000000002</v>
      </c>
      <c r="G1478">
        <v>26</v>
      </c>
      <c r="H1478">
        <v>9</v>
      </c>
      <c r="I1478">
        <v>4698.3500000000004</v>
      </c>
      <c r="J1478">
        <v>2703.73</v>
      </c>
      <c r="K1478">
        <v>1</v>
      </c>
      <c r="L1478">
        <v>2025</v>
      </c>
    </row>
    <row r="1479" spans="1:12" x14ac:dyDescent="0.25">
      <c r="A1479" s="1" t="s">
        <v>1511</v>
      </c>
      <c r="B1479" s="1" t="s">
        <v>18</v>
      </c>
      <c r="C1479">
        <v>4</v>
      </c>
      <c r="D1479" s="1" t="s">
        <v>28</v>
      </c>
      <c r="E1479">
        <v>4117.82</v>
      </c>
      <c r="F1479">
        <v>4417.47</v>
      </c>
      <c r="G1479">
        <v>28</v>
      </c>
      <c r="H1479">
        <v>47</v>
      </c>
      <c r="I1479">
        <v>70752.399999999994</v>
      </c>
      <c r="J1479">
        <v>0</v>
      </c>
      <c r="K1479">
        <v>0</v>
      </c>
      <c r="L1479">
        <v>2025</v>
      </c>
    </row>
    <row r="1480" spans="1:12" x14ac:dyDescent="0.25">
      <c r="A1480" s="1" t="s">
        <v>1512</v>
      </c>
      <c r="B1480" s="1" t="s">
        <v>18</v>
      </c>
      <c r="C1480">
        <v>13</v>
      </c>
      <c r="D1480" s="1" t="s">
        <v>28</v>
      </c>
      <c r="E1480">
        <v>17740.88</v>
      </c>
      <c r="F1480">
        <v>18131.419999999998</v>
      </c>
      <c r="G1480">
        <v>24</v>
      </c>
      <c r="H1480">
        <v>20</v>
      </c>
      <c r="I1480">
        <v>34025.11</v>
      </c>
      <c r="J1480">
        <v>5644.44</v>
      </c>
      <c r="K1480">
        <v>0</v>
      </c>
      <c r="L1480">
        <v>2025</v>
      </c>
    </row>
    <row r="1481" spans="1:12" x14ac:dyDescent="0.25">
      <c r="A1481" s="1" t="s">
        <v>1513</v>
      </c>
      <c r="B1481" s="1" t="s">
        <v>12</v>
      </c>
      <c r="C1481">
        <v>100</v>
      </c>
      <c r="D1481" s="1" t="s">
        <v>28</v>
      </c>
      <c r="E1481">
        <v>84435.71</v>
      </c>
      <c r="F1481">
        <v>55397.11</v>
      </c>
      <c r="G1481">
        <v>22</v>
      </c>
      <c r="H1481">
        <v>40</v>
      </c>
      <c r="I1481">
        <v>74957.179999999993</v>
      </c>
      <c r="J1481">
        <v>10527.62</v>
      </c>
      <c r="K1481">
        <v>1</v>
      </c>
      <c r="L1481">
        <v>2025</v>
      </c>
    </row>
    <row r="1482" spans="1:12" x14ac:dyDescent="0.25">
      <c r="A1482" s="1" t="s">
        <v>1514</v>
      </c>
      <c r="B1482" s="1" t="s">
        <v>18</v>
      </c>
      <c r="C1482">
        <v>68</v>
      </c>
      <c r="D1482" s="1" t="s">
        <v>28</v>
      </c>
      <c r="E1482">
        <v>47430.39</v>
      </c>
      <c r="F1482">
        <v>42604.53</v>
      </c>
      <c r="G1482">
        <v>21</v>
      </c>
      <c r="H1482">
        <v>15</v>
      </c>
      <c r="I1482">
        <v>68819.81</v>
      </c>
      <c r="J1482">
        <v>5922.68</v>
      </c>
      <c r="K1482">
        <v>0</v>
      </c>
      <c r="L1482">
        <v>2025</v>
      </c>
    </row>
    <row r="1483" spans="1:12" x14ac:dyDescent="0.25">
      <c r="A1483" s="1" t="s">
        <v>1515</v>
      </c>
      <c r="B1483" s="1" t="s">
        <v>14</v>
      </c>
      <c r="C1483">
        <v>26</v>
      </c>
      <c r="D1483" s="1" t="s">
        <v>28</v>
      </c>
      <c r="E1483">
        <v>19860.34</v>
      </c>
      <c r="F1483">
        <v>11592.28</v>
      </c>
      <c r="G1483">
        <v>75</v>
      </c>
      <c r="H1483">
        <v>69</v>
      </c>
      <c r="I1483">
        <v>33456.769999999997</v>
      </c>
      <c r="J1483">
        <v>0</v>
      </c>
      <c r="K1483">
        <v>0</v>
      </c>
      <c r="L1483">
        <v>2025</v>
      </c>
    </row>
    <row r="1484" spans="1:12" x14ac:dyDescent="0.25">
      <c r="A1484" s="1" t="s">
        <v>1516</v>
      </c>
      <c r="B1484" s="1" t="s">
        <v>17</v>
      </c>
      <c r="C1484">
        <v>27</v>
      </c>
      <c r="D1484" s="1" t="s">
        <v>28</v>
      </c>
      <c r="E1484">
        <v>28355.1</v>
      </c>
      <c r="F1484">
        <v>20468.48</v>
      </c>
      <c r="G1484">
        <v>13</v>
      </c>
      <c r="H1484">
        <v>41</v>
      </c>
      <c r="I1484">
        <v>22144.17</v>
      </c>
      <c r="J1484">
        <v>9584.27</v>
      </c>
      <c r="K1484">
        <v>0</v>
      </c>
      <c r="L1484">
        <v>2025</v>
      </c>
    </row>
    <row r="1485" spans="1:12" x14ac:dyDescent="0.25">
      <c r="A1485" s="1" t="s">
        <v>1517</v>
      </c>
      <c r="B1485" s="1" t="s">
        <v>17</v>
      </c>
      <c r="C1485">
        <v>45</v>
      </c>
      <c r="D1485" s="1" t="s">
        <v>28</v>
      </c>
      <c r="E1485">
        <v>30914.93</v>
      </c>
      <c r="F1485">
        <v>25027.34</v>
      </c>
      <c r="G1485">
        <v>37</v>
      </c>
      <c r="H1485">
        <v>21</v>
      </c>
      <c r="I1485">
        <v>654.58000000000004</v>
      </c>
      <c r="J1485">
        <v>0</v>
      </c>
      <c r="K1485">
        <v>0</v>
      </c>
      <c r="L1485">
        <v>2025</v>
      </c>
    </row>
    <row r="1486" spans="1:12" x14ac:dyDescent="0.25">
      <c r="A1486" s="1" t="s">
        <v>1518</v>
      </c>
      <c r="B1486" s="1" t="s">
        <v>12</v>
      </c>
      <c r="C1486">
        <v>110</v>
      </c>
      <c r="D1486" s="1" t="s">
        <v>28</v>
      </c>
      <c r="E1486">
        <v>78386.86</v>
      </c>
      <c r="F1486">
        <v>73944.13</v>
      </c>
      <c r="G1486">
        <v>70</v>
      </c>
      <c r="H1486">
        <v>51</v>
      </c>
      <c r="I1486">
        <v>18643.13</v>
      </c>
      <c r="J1486">
        <v>4337.78</v>
      </c>
      <c r="K1486">
        <v>1</v>
      </c>
      <c r="L1486">
        <v>2025</v>
      </c>
    </row>
    <row r="1487" spans="1:12" x14ac:dyDescent="0.25">
      <c r="A1487" s="1" t="s">
        <v>1519</v>
      </c>
      <c r="B1487" s="1" t="s">
        <v>17</v>
      </c>
      <c r="C1487">
        <v>17</v>
      </c>
      <c r="D1487" s="1" t="s">
        <v>28</v>
      </c>
      <c r="E1487">
        <v>13647.29</v>
      </c>
      <c r="F1487">
        <v>11447.32</v>
      </c>
      <c r="G1487">
        <v>40</v>
      </c>
      <c r="H1487">
        <v>93</v>
      </c>
      <c r="I1487">
        <v>18078.38</v>
      </c>
      <c r="J1487">
        <v>5034.62</v>
      </c>
      <c r="K1487">
        <v>1</v>
      </c>
      <c r="L1487">
        <v>2025</v>
      </c>
    </row>
    <row r="1488" spans="1:12" x14ac:dyDescent="0.25">
      <c r="A1488" s="1" t="s">
        <v>1520</v>
      </c>
      <c r="B1488" s="1" t="s">
        <v>17</v>
      </c>
      <c r="C1488">
        <v>80</v>
      </c>
      <c r="D1488" s="1" t="s">
        <v>28</v>
      </c>
      <c r="E1488">
        <v>71953.53</v>
      </c>
      <c r="F1488">
        <v>44672.86</v>
      </c>
      <c r="G1488">
        <v>25</v>
      </c>
      <c r="H1488">
        <v>52</v>
      </c>
      <c r="I1488">
        <v>24298.77</v>
      </c>
      <c r="J1488">
        <v>4905.1499999999996</v>
      </c>
      <c r="K1488">
        <v>0</v>
      </c>
      <c r="L1488">
        <v>2025</v>
      </c>
    </row>
    <row r="1489" spans="1:12" x14ac:dyDescent="0.25">
      <c r="A1489" s="1" t="s">
        <v>1521</v>
      </c>
      <c r="B1489" s="1" t="s">
        <v>18</v>
      </c>
      <c r="C1489">
        <v>5</v>
      </c>
      <c r="D1489" s="1" t="s">
        <v>28</v>
      </c>
      <c r="E1489">
        <v>7256.23</v>
      </c>
      <c r="F1489">
        <v>4611.58</v>
      </c>
      <c r="G1489">
        <v>40</v>
      </c>
      <c r="H1489">
        <v>55</v>
      </c>
      <c r="I1489">
        <v>15937.55</v>
      </c>
      <c r="J1489">
        <v>0</v>
      </c>
      <c r="K1489">
        <v>0</v>
      </c>
      <c r="L1489">
        <v>2025</v>
      </c>
    </row>
    <row r="1490" spans="1:12" x14ac:dyDescent="0.25">
      <c r="A1490" s="1" t="s">
        <v>1522</v>
      </c>
      <c r="B1490" s="1" t="s">
        <v>12</v>
      </c>
      <c r="C1490">
        <v>63</v>
      </c>
      <c r="D1490" s="1" t="s">
        <v>28</v>
      </c>
      <c r="E1490">
        <v>72007.55</v>
      </c>
      <c r="F1490">
        <v>52045.47</v>
      </c>
      <c r="G1490">
        <v>32</v>
      </c>
      <c r="H1490">
        <v>12</v>
      </c>
      <c r="I1490">
        <v>40046.629999999997</v>
      </c>
      <c r="J1490">
        <v>173.79</v>
      </c>
      <c r="K1490">
        <v>0</v>
      </c>
      <c r="L1490">
        <v>2025</v>
      </c>
    </row>
    <row r="1491" spans="1:12" x14ac:dyDescent="0.25">
      <c r="A1491" s="1" t="s">
        <v>1523</v>
      </c>
      <c r="B1491" s="1" t="s">
        <v>15</v>
      </c>
      <c r="C1491">
        <v>67</v>
      </c>
      <c r="D1491" s="1" t="s">
        <v>28</v>
      </c>
      <c r="E1491">
        <v>56747.199999999997</v>
      </c>
      <c r="F1491">
        <v>53198.97</v>
      </c>
      <c r="G1491">
        <v>33</v>
      </c>
      <c r="H1491">
        <v>29</v>
      </c>
      <c r="I1491">
        <v>48038.85</v>
      </c>
      <c r="J1491">
        <v>5125.59</v>
      </c>
      <c r="K1491">
        <v>0</v>
      </c>
      <c r="L1491">
        <v>2025</v>
      </c>
    </row>
    <row r="1492" spans="1:12" x14ac:dyDescent="0.25">
      <c r="A1492" s="1" t="s">
        <v>1524</v>
      </c>
      <c r="B1492" s="1" t="s">
        <v>16</v>
      </c>
      <c r="C1492">
        <v>53</v>
      </c>
      <c r="D1492" s="1" t="s">
        <v>28</v>
      </c>
      <c r="E1492">
        <v>39773.61</v>
      </c>
      <c r="F1492">
        <v>25927</v>
      </c>
      <c r="G1492">
        <v>39</v>
      </c>
      <c r="H1492">
        <v>10</v>
      </c>
      <c r="I1492">
        <v>52091.74</v>
      </c>
      <c r="J1492">
        <v>2193.85</v>
      </c>
      <c r="K1492">
        <v>0</v>
      </c>
      <c r="L1492">
        <v>2025</v>
      </c>
    </row>
    <row r="1493" spans="1:12" x14ac:dyDescent="0.25">
      <c r="A1493" s="1" t="s">
        <v>1525</v>
      </c>
      <c r="B1493" s="1" t="s">
        <v>14</v>
      </c>
      <c r="C1493">
        <v>72</v>
      </c>
      <c r="D1493" s="1" t="s">
        <v>28</v>
      </c>
      <c r="E1493">
        <v>71734.03</v>
      </c>
      <c r="F1493">
        <v>70676.7</v>
      </c>
      <c r="G1493">
        <v>50</v>
      </c>
      <c r="H1493">
        <v>15</v>
      </c>
      <c r="I1493">
        <v>41815.68</v>
      </c>
      <c r="J1493">
        <v>1314.07</v>
      </c>
      <c r="K1493">
        <v>0</v>
      </c>
      <c r="L1493">
        <v>2025</v>
      </c>
    </row>
    <row r="1494" spans="1:12" x14ac:dyDescent="0.25">
      <c r="A1494" s="1" t="s">
        <v>1526</v>
      </c>
      <c r="B1494" s="1" t="s">
        <v>15</v>
      </c>
      <c r="C1494">
        <v>116</v>
      </c>
      <c r="D1494" s="1" t="s">
        <v>28</v>
      </c>
      <c r="E1494">
        <v>79765.16</v>
      </c>
      <c r="F1494">
        <v>80654.61</v>
      </c>
      <c r="G1494">
        <v>52</v>
      </c>
      <c r="H1494">
        <v>48</v>
      </c>
      <c r="I1494">
        <v>32899.800000000003</v>
      </c>
      <c r="J1494">
        <v>9551.26</v>
      </c>
      <c r="K1494">
        <v>0</v>
      </c>
      <c r="L1494">
        <v>2025</v>
      </c>
    </row>
    <row r="1495" spans="1:12" x14ac:dyDescent="0.25">
      <c r="A1495" s="1" t="s">
        <v>1527</v>
      </c>
      <c r="B1495" s="1" t="s">
        <v>18</v>
      </c>
      <c r="C1495">
        <v>108</v>
      </c>
      <c r="D1495" s="1" t="s">
        <v>28</v>
      </c>
      <c r="E1495">
        <v>69999.34</v>
      </c>
      <c r="F1495">
        <v>56494.01</v>
      </c>
      <c r="G1495">
        <v>40</v>
      </c>
      <c r="H1495">
        <v>0</v>
      </c>
      <c r="I1495">
        <v>0</v>
      </c>
      <c r="J1495">
        <v>1370.63</v>
      </c>
      <c r="K1495">
        <v>0</v>
      </c>
      <c r="L1495">
        <v>2025</v>
      </c>
    </row>
    <row r="1496" spans="1:12" x14ac:dyDescent="0.25">
      <c r="A1496" s="1" t="s">
        <v>1528</v>
      </c>
      <c r="B1496" s="1" t="s">
        <v>16</v>
      </c>
      <c r="C1496">
        <v>9</v>
      </c>
      <c r="D1496" s="1" t="s">
        <v>28</v>
      </c>
      <c r="E1496">
        <v>4047.69</v>
      </c>
      <c r="F1496">
        <v>2500</v>
      </c>
      <c r="G1496">
        <v>38</v>
      </c>
      <c r="H1496">
        <v>33</v>
      </c>
      <c r="I1496">
        <v>17091.07</v>
      </c>
      <c r="J1496">
        <v>7884.82</v>
      </c>
      <c r="K1496">
        <v>0</v>
      </c>
      <c r="L1496">
        <v>2025</v>
      </c>
    </row>
    <row r="1497" spans="1:12" x14ac:dyDescent="0.25">
      <c r="A1497" s="1" t="s">
        <v>1529</v>
      </c>
      <c r="B1497" s="1" t="s">
        <v>18</v>
      </c>
      <c r="C1497">
        <v>83</v>
      </c>
      <c r="D1497" s="1" t="s">
        <v>28</v>
      </c>
      <c r="E1497">
        <v>51804.12</v>
      </c>
      <c r="F1497">
        <v>33014.19</v>
      </c>
      <c r="G1497">
        <v>28</v>
      </c>
      <c r="H1497">
        <v>40</v>
      </c>
      <c r="I1497">
        <v>19504.310000000001</v>
      </c>
      <c r="J1497">
        <v>9584.43</v>
      </c>
      <c r="K1497">
        <v>0</v>
      </c>
      <c r="L1497">
        <v>2025</v>
      </c>
    </row>
    <row r="1498" spans="1:12" x14ac:dyDescent="0.25">
      <c r="A1498" s="1" t="s">
        <v>1530</v>
      </c>
      <c r="B1498" s="1" t="s">
        <v>17</v>
      </c>
      <c r="C1498">
        <v>54</v>
      </c>
      <c r="D1498" s="1" t="s">
        <v>28</v>
      </c>
      <c r="E1498">
        <v>46897.23</v>
      </c>
      <c r="F1498">
        <v>44141.05</v>
      </c>
      <c r="G1498">
        <v>59</v>
      </c>
      <c r="H1498">
        <v>50</v>
      </c>
      <c r="I1498">
        <v>4511.28</v>
      </c>
      <c r="J1498">
        <v>2889.99</v>
      </c>
      <c r="K1498">
        <v>0</v>
      </c>
      <c r="L1498">
        <v>2025</v>
      </c>
    </row>
    <row r="1499" spans="1:12" x14ac:dyDescent="0.25">
      <c r="A1499" s="1" t="s">
        <v>1531</v>
      </c>
      <c r="B1499" s="1" t="s">
        <v>12</v>
      </c>
      <c r="C1499">
        <v>85</v>
      </c>
      <c r="D1499" s="1" t="s">
        <v>28</v>
      </c>
      <c r="E1499">
        <v>60485.81</v>
      </c>
      <c r="F1499">
        <v>56749.34</v>
      </c>
      <c r="G1499">
        <v>34</v>
      </c>
      <c r="H1499">
        <v>34</v>
      </c>
      <c r="I1499">
        <v>72527.100000000006</v>
      </c>
      <c r="J1499">
        <v>4709.59</v>
      </c>
      <c r="K1499">
        <v>0</v>
      </c>
      <c r="L1499">
        <v>2025</v>
      </c>
    </row>
    <row r="1500" spans="1:12" x14ac:dyDescent="0.25">
      <c r="A1500" s="1" t="s">
        <v>1532</v>
      </c>
      <c r="B1500" s="1" t="s">
        <v>17</v>
      </c>
      <c r="C1500">
        <v>85</v>
      </c>
      <c r="D1500" s="1" t="s">
        <v>28</v>
      </c>
      <c r="E1500">
        <v>70525.820000000007</v>
      </c>
      <c r="F1500">
        <v>73205.48</v>
      </c>
      <c r="G1500">
        <v>45</v>
      </c>
      <c r="H1500">
        <v>47</v>
      </c>
      <c r="I1500">
        <v>16858.62</v>
      </c>
      <c r="J1500">
        <v>6482.02</v>
      </c>
      <c r="K1500">
        <v>0</v>
      </c>
      <c r="L1500">
        <v>2025</v>
      </c>
    </row>
    <row r="1501" spans="1:12" x14ac:dyDescent="0.25">
      <c r="A1501" s="1" t="s">
        <v>1533</v>
      </c>
      <c r="B1501" s="1" t="s">
        <v>14</v>
      </c>
      <c r="C1501">
        <v>27</v>
      </c>
      <c r="D1501" s="1" t="s">
        <v>28</v>
      </c>
      <c r="E1501">
        <v>18666.05</v>
      </c>
      <c r="F1501">
        <v>17207.29</v>
      </c>
      <c r="G1501">
        <v>47</v>
      </c>
      <c r="H1501">
        <v>25</v>
      </c>
      <c r="I1501">
        <v>13745.07</v>
      </c>
      <c r="J1501">
        <v>1974.02</v>
      </c>
      <c r="K1501">
        <v>1</v>
      </c>
      <c r="L1501">
        <v>2025</v>
      </c>
    </row>
    <row r="1502" spans="1:12" x14ac:dyDescent="0.25">
      <c r="A1502" s="1" t="s">
        <v>1534</v>
      </c>
      <c r="B1502" s="1" t="s">
        <v>12</v>
      </c>
      <c r="C1502">
        <v>60</v>
      </c>
      <c r="D1502" s="1" t="s">
        <v>28</v>
      </c>
      <c r="E1502">
        <v>50307.61</v>
      </c>
      <c r="F1502">
        <v>34091.1</v>
      </c>
      <c r="G1502">
        <v>70</v>
      </c>
      <c r="H1502">
        <v>4</v>
      </c>
      <c r="I1502">
        <v>39583.39</v>
      </c>
      <c r="J1502">
        <v>0</v>
      </c>
      <c r="K1502">
        <v>0</v>
      </c>
      <c r="L1502">
        <v>2025</v>
      </c>
    </row>
    <row r="1503" spans="1:12" x14ac:dyDescent="0.25">
      <c r="A1503" s="1" t="s">
        <v>1535</v>
      </c>
      <c r="B1503" s="1" t="s">
        <v>14</v>
      </c>
      <c r="C1503">
        <v>28</v>
      </c>
      <c r="D1503" s="1" t="s">
        <v>28</v>
      </c>
      <c r="E1503">
        <v>16019.06</v>
      </c>
      <c r="F1503">
        <v>12832.74</v>
      </c>
      <c r="G1503">
        <v>54</v>
      </c>
      <c r="H1503">
        <v>58</v>
      </c>
      <c r="I1503">
        <v>30119.18</v>
      </c>
      <c r="J1503">
        <v>0</v>
      </c>
      <c r="K1503">
        <v>0</v>
      </c>
      <c r="L1503">
        <v>2025</v>
      </c>
    </row>
    <row r="1504" spans="1:12" x14ac:dyDescent="0.25">
      <c r="A1504" s="1" t="s">
        <v>1536</v>
      </c>
      <c r="B1504" s="1" t="s">
        <v>14</v>
      </c>
      <c r="C1504">
        <v>51</v>
      </c>
      <c r="D1504" s="1" t="s">
        <v>28</v>
      </c>
      <c r="E1504">
        <v>38125.879999999997</v>
      </c>
      <c r="F1504">
        <v>30964.27</v>
      </c>
      <c r="G1504">
        <v>58</v>
      </c>
      <c r="H1504">
        <v>20</v>
      </c>
      <c r="I1504">
        <v>0</v>
      </c>
      <c r="J1504">
        <v>0</v>
      </c>
      <c r="K1504">
        <v>1</v>
      </c>
      <c r="L1504">
        <v>2025</v>
      </c>
    </row>
    <row r="1505" spans="1:12" x14ac:dyDescent="0.25">
      <c r="A1505" s="1" t="s">
        <v>1537</v>
      </c>
      <c r="B1505" s="1" t="s">
        <v>14</v>
      </c>
      <c r="C1505">
        <v>111</v>
      </c>
      <c r="D1505" s="1" t="s">
        <v>28</v>
      </c>
      <c r="E1505">
        <v>93185.29</v>
      </c>
      <c r="F1505">
        <v>87158.43</v>
      </c>
      <c r="G1505">
        <v>16</v>
      </c>
      <c r="H1505">
        <v>7</v>
      </c>
      <c r="I1505">
        <v>47099.68</v>
      </c>
      <c r="J1505">
        <v>8816.1200000000008</v>
      </c>
      <c r="K1505">
        <v>0</v>
      </c>
      <c r="L1505">
        <v>2025</v>
      </c>
    </row>
    <row r="1506" spans="1:12" x14ac:dyDescent="0.25">
      <c r="A1506" s="1" t="s">
        <v>1538</v>
      </c>
      <c r="B1506" s="1" t="s">
        <v>15</v>
      </c>
      <c r="C1506">
        <v>112</v>
      </c>
      <c r="D1506" s="1" t="s">
        <v>28</v>
      </c>
      <c r="E1506">
        <v>93117.05</v>
      </c>
      <c r="F1506">
        <v>72590.23</v>
      </c>
      <c r="G1506">
        <v>56</v>
      </c>
      <c r="H1506">
        <v>51</v>
      </c>
      <c r="I1506">
        <v>11104.69</v>
      </c>
      <c r="J1506">
        <v>10392.379999999999</v>
      </c>
      <c r="K1506">
        <v>0</v>
      </c>
      <c r="L1506">
        <v>2025</v>
      </c>
    </row>
    <row r="1507" spans="1:12" x14ac:dyDescent="0.25">
      <c r="A1507" s="1" t="s">
        <v>1539</v>
      </c>
      <c r="B1507" s="1" t="s">
        <v>14</v>
      </c>
      <c r="C1507">
        <v>52</v>
      </c>
      <c r="D1507" s="1" t="s">
        <v>28</v>
      </c>
      <c r="E1507">
        <v>35676.83</v>
      </c>
      <c r="F1507">
        <v>33187.56</v>
      </c>
      <c r="G1507">
        <v>34</v>
      </c>
      <c r="H1507">
        <v>24</v>
      </c>
      <c r="I1507">
        <v>48158.17</v>
      </c>
      <c r="J1507">
        <v>5922.6</v>
      </c>
      <c r="K1507">
        <v>1</v>
      </c>
      <c r="L1507">
        <v>2025</v>
      </c>
    </row>
    <row r="1508" spans="1:12" x14ac:dyDescent="0.25">
      <c r="A1508" s="1" t="s">
        <v>1540</v>
      </c>
      <c r="B1508" s="1" t="s">
        <v>18</v>
      </c>
      <c r="C1508">
        <v>46</v>
      </c>
      <c r="D1508" s="1" t="s">
        <v>28</v>
      </c>
      <c r="E1508">
        <v>48795.58</v>
      </c>
      <c r="F1508">
        <v>33470.89</v>
      </c>
      <c r="G1508">
        <v>53</v>
      </c>
      <c r="H1508">
        <v>20</v>
      </c>
      <c r="I1508">
        <v>42161.06</v>
      </c>
      <c r="J1508">
        <v>1083.1400000000001</v>
      </c>
      <c r="K1508">
        <v>1</v>
      </c>
      <c r="L1508">
        <v>2025</v>
      </c>
    </row>
    <row r="1509" spans="1:12" x14ac:dyDescent="0.25">
      <c r="A1509" s="1" t="s">
        <v>1541</v>
      </c>
      <c r="B1509" s="1" t="s">
        <v>15</v>
      </c>
      <c r="C1509">
        <v>27</v>
      </c>
      <c r="D1509" s="1" t="s">
        <v>28</v>
      </c>
      <c r="E1509">
        <v>36896.53</v>
      </c>
      <c r="F1509">
        <v>22724.95</v>
      </c>
      <c r="G1509">
        <v>26</v>
      </c>
      <c r="H1509">
        <v>27</v>
      </c>
      <c r="I1509">
        <v>37685.440000000002</v>
      </c>
      <c r="J1509">
        <v>0</v>
      </c>
      <c r="K1509">
        <v>1</v>
      </c>
      <c r="L1509">
        <v>2025</v>
      </c>
    </row>
    <row r="1510" spans="1:12" x14ac:dyDescent="0.25">
      <c r="A1510" s="1" t="s">
        <v>1542</v>
      </c>
      <c r="B1510" s="1" t="s">
        <v>16</v>
      </c>
      <c r="C1510">
        <v>70</v>
      </c>
      <c r="D1510" s="1" t="s">
        <v>28</v>
      </c>
      <c r="E1510">
        <v>51794.89</v>
      </c>
      <c r="F1510">
        <v>48387.17</v>
      </c>
      <c r="G1510">
        <v>38</v>
      </c>
      <c r="H1510">
        <v>56</v>
      </c>
      <c r="I1510">
        <v>54140.63</v>
      </c>
      <c r="J1510">
        <v>4253.6499999999996</v>
      </c>
      <c r="K1510">
        <v>0</v>
      </c>
      <c r="L1510">
        <v>2025</v>
      </c>
    </row>
    <row r="1511" spans="1:12" x14ac:dyDescent="0.25">
      <c r="A1511" s="1" t="s">
        <v>1543</v>
      </c>
      <c r="B1511" s="1" t="s">
        <v>14</v>
      </c>
      <c r="C1511">
        <v>9</v>
      </c>
      <c r="D1511" s="1" t="s">
        <v>28</v>
      </c>
      <c r="E1511">
        <v>22581.69</v>
      </c>
      <c r="F1511">
        <v>20889.400000000001</v>
      </c>
      <c r="G1511">
        <v>38</v>
      </c>
      <c r="H1511">
        <v>43</v>
      </c>
      <c r="I1511">
        <v>20187.89</v>
      </c>
      <c r="J1511">
        <v>319.32</v>
      </c>
      <c r="K1511">
        <v>0</v>
      </c>
      <c r="L1511">
        <v>2025</v>
      </c>
    </row>
    <row r="1512" spans="1:12" x14ac:dyDescent="0.25">
      <c r="A1512" s="1" t="s">
        <v>1544</v>
      </c>
      <c r="B1512" s="1" t="s">
        <v>16</v>
      </c>
      <c r="C1512">
        <v>48</v>
      </c>
      <c r="D1512" s="1" t="s">
        <v>28</v>
      </c>
      <c r="E1512">
        <v>61087.22</v>
      </c>
      <c r="F1512">
        <v>65076.97</v>
      </c>
      <c r="G1512">
        <v>36</v>
      </c>
      <c r="H1512">
        <v>51</v>
      </c>
      <c r="I1512">
        <v>61513.19</v>
      </c>
      <c r="J1512">
        <v>6993.83</v>
      </c>
      <c r="K1512">
        <v>0</v>
      </c>
      <c r="L1512">
        <v>2025</v>
      </c>
    </row>
    <row r="1513" spans="1:12" x14ac:dyDescent="0.25">
      <c r="A1513" s="1" t="s">
        <v>1545</v>
      </c>
      <c r="B1513" s="1" t="s">
        <v>12</v>
      </c>
      <c r="C1513">
        <v>53</v>
      </c>
      <c r="D1513" s="1" t="s">
        <v>28</v>
      </c>
      <c r="E1513">
        <v>58711.48</v>
      </c>
      <c r="F1513">
        <v>55806.13</v>
      </c>
      <c r="G1513">
        <v>55</v>
      </c>
      <c r="H1513">
        <v>36</v>
      </c>
      <c r="I1513">
        <v>46354.93</v>
      </c>
      <c r="J1513">
        <v>6819.32</v>
      </c>
      <c r="K1513">
        <v>0</v>
      </c>
      <c r="L1513">
        <v>2025</v>
      </c>
    </row>
    <row r="1514" spans="1:12" x14ac:dyDescent="0.25">
      <c r="A1514" s="1" t="s">
        <v>1546</v>
      </c>
      <c r="B1514" s="1" t="s">
        <v>14</v>
      </c>
      <c r="C1514">
        <v>46</v>
      </c>
      <c r="D1514" s="1" t="s">
        <v>28</v>
      </c>
      <c r="E1514">
        <v>54523.14</v>
      </c>
      <c r="F1514">
        <v>41264.93</v>
      </c>
      <c r="G1514">
        <v>15</v>
      </c>
      <c r="H1514">
        <v>28</v>
      </c>
      <c r="I1514">
        <v>68011.11</v>
      </c>
      <c r="J1514">
        <v>193.34</v>
      </c>
      <c r="K1514">
        <v>0</v>
      </c>
      <c r="L1514">
        <v>2025</v>
      </c>
    </row>
    <row r="1515" spans="1:12" x14ac:dyDescent="0.25">
      <c r="A1515" s="1" t="s">
        <v>1547</v>
      </c>
      <c r="B1515" s="1" t="s">
        <v>15</v>
      </c>
      <c r="C1515">
        <v>119</v>
      </c>
      <c r="D1515" s="1" t="s">
        <v>28</v>
      </c>
      <c r="E1515">
        <v>91963.05</v>
      </c>
      <c r="F1515">
        <v>77188.929999999993</v>
      </c>
      <c r="G1515">
        <v>40</v>
      </c>
      <c r="H1515">
        <v>3</v>
      </c>
      <c r="I1515">
        <v>36165.21</v>
      </c>
      <c r="J1515">
        <v>4671.63</v>
      </c>
      <c r="K1515">
        <v>0</v>
      </c>
      <c r="L1515">
        <v>2025</v>
      </c>
    </row>
    <row r="1516" spans="1:12" x14ac:dyDescent="0.25">
      <c r="A1516" s="1" t="s">
        <v>1548</v>
      </c>
      <c r="B1516" s="1" t="s">
        <v>18</v>
      </c>
      <c r="C1516">
        <v>93</v>
      </c>
      <c r="D1516" s="1" t="s">
        <v>28</v>
      </c>
      <c r="E1516">
        <v>61371.89</v>
      </c>
      <c r="F1516">
        <v>41205.519999999997</v>
      </c>
      <c r="G1516">
        <v>35</v>
      </c>
      <c r="H1516">
        <v>0</v>
      </c>
      <c r="I1516">
        <v>0</v>
      </c>
      <c r="J1516">
        <v>0</v>
      </c>
      <c r="K1516">
        <v>0</v>
      </c>
      <c r="L1516">
        <v>2025</v>
      </c>
    </row>
    <row r="1517" spans="1:12" x14ac:dyDescent="0.25">
      <c r="A1517" s="1" t="s">
        <v>1549</v>
      </c>
      <c r="B1517" s="1" t="s">
        <v>15</v>
      </c>
      <c r="C1517">
        <v>88</v>
      </c>
      <c r="D1517" s="1" t="s">
        <v>28</v>
      </c>
      <c r="E1517">
        <v>65491.37</v>
      </c>
      <c r="F1517">
        <v>41467.51</v>
      </c>
      <c r="G1517">
        <v>51</v>
      </c>
      <c r="H1517">
        <v>21</v>
      </c>
      <c r="I1517">
        <v>60379.63</v>
      </c>
      <c r="J1517">
        <v>0</v>
      </c>
      <c r="K1517">
        <v>0</v>
      </c>
      <c r="L1517">
        <v>2025</v>
      </c>
    </row>
    <row r="1518" spans="1:12" x14ac:dyDescent="0.25">
      <c r="A1518" s="1" t="s">
        <v>1550</v>
      </c>
      <c r="B1518" s="1" t="s">
        <v>12</v>
      </c>
      <c r="C1518">
        <v>6</v>
      </c>
      <c r="D1518" s="1" t="s">
        <v>28</v>
      </c>
      <c r="E1518">
        <v>15296.8</v>
      </c>
      <c r="F1518">
        <v>8966.7900000000009</v>
      </c>
      <c r="G1518">
        <v>51</v>
      </c>
      <c r="H1518">
        <v>0</v>
      </c>
      <c r="I1518">
        <v>47368.18</v>
      </c>
      <c r="J1518">
        <v>0</v>
      </c>
      <c r="K1518">
        <v>0</v>
      </c>
      <c r="L1518">
        <v>2025</v>
      </c>
    </row>
    <row r="1519" spans="1:12" x14ac:dyDescent="0.25">
      <c r="A1519" s="1" t="s">
        <v>1551</v>
      </c>
      <c r="B1519" s="1" t="s">
        <v>16</v>
      </c>
      <c r="C1519">
        <v>88</v>
      </c>
      <c r="D1519" s="1" t="s">
        <v>28</v>
      </c>
      <c r="E1519">
        <v>72678.53</v>
      </c>
      <c r="F1519">
        <v>72179.990000000005</v>
      </c>
      <c r="G1519">
        <v>31</v>
      </c>
      <c r="H1519">
        <v>25</v>
      </c>
      <c r="I1519">
        <v>13241.27</v>
      </c>
      <c r="J1519">
        <v>4173.91</v>
      </c>
      <c r="K1519">
        <v>1</v>
      </c>
      <c r="L1519">
        <v>2025</v>
      </c>
    </row>
    <row r="1520" spans="1:12" x14ac:dyDescent="0.25">
      <c r="A1520" s="1" t="s">
        <v>1552</v>
      </c>
      <c r="B1520" s="1" t="s">
        <v>16</v>
      </c>
      <c r="C1520">
        <v>33</v>
      </c>
      <c r="D1520" s="1" t="s">
        <v>28</v>
      </c>
      <c r="E1520">
        <v>28873.11</v>
      </c>
      <c r="F1520">
        <v>22422.47</v>
      </c>
      <c r="G1520">
        <v>30</v>
      </c>
      <c r="H1520">
        <v>48</v>
      </c>
      <c r="I1520">
        <v>27064.67</v>
      </c>
      <c r="J1520">
        <v>2260.44</v>
      </c>
      <c r="K1520">
        <v>0</v>
      </c>
      <c r="L1520">
        <v>2025</v>
      </c>
    </row>
    <row r="1521" spans="1:12" x14ac:dyDescent="0.25">
      <c r="A1521" s="1" t="s">
        <v>1553</v>
      </c>
      <c r="B1521" s="1" t="s">
        <v>12</v>
      </c>
      <c r="C1521">
        <v>41</v>
      </c>
      <c r="D1521" s="1" t="s">
        <v>28</v>
      </c>
      <c r="E1521">
        <v>30421.82</v>
      </c>
      <c r="F1521">
        <v>21815.22</v>
      </c>
      <c r="G1521">
        <v>21</v>
      </c>
      <c r="H1521">
        <v>57</v>
      </c>
      <c r="I1521">
        <v>46780.49</v>
      </c>
      <c r="J1521">
        <v>0</v>
      </c>
      <c r="K1521">
        <v>0</v>
      </c>
      <c r="L1521">
        <v>2025</v>
      </c>
    </row>
    <row r="1522" spans="1:12" x14ac:dyDescent="0.25">
      <c r="A1522" s="1" t="s">
        <v>1554</v>
      </c>
      <c r="B1522" s="1" t="s">
        <v>15</v>
      </c>
      <c r="C1522">
        <v>73</v>
      </c>
      <c r="D1522" s="1" t="s">
        <v>28</v>
      </c>
      <c r="E1522">
        <v>81238.28</v>
      </c>
      <c r="F1522">
        <v>69608.53</v>
      </c>
      <c r="G1522">
        <v>30</v>
      </c>
      <c r="H1522">
        <v>24</v>
      </c>
      <c r="I1522">
        <v>54867.41</v>
      </c>
      <c r="J1522">
        <v>0</v>
      </c>
      <c r="K1522">
        <v>1</v>
      </c>
      <c r="L1522">
        <v>2025</v>
      </c>
    </row>
    <row r="1523" spans="1:12" x14ac:dyDescent="0.25">
      <c r="A1523" s="1" t="s">
        <v>1555</v>
      </c>
      <c r="B1523" s="1" t="s">
        <v>16</v>
      </c>
      <c r="C1523">
        <v>36</v>
      </c>
      <c r="D1523" s="1" t="s">
        <v>28</v>
      </c>
      <c r="E1523">
        <v>37523.919999999998</v>
      </c>
      <c r="F1523">
        <v>29717.68</v>
      </c>
      <c r="G1523">
        <v>33</v>
      </c>
      <c r="H1523">
        <v>33</v>
      </c>
      <c r="I1523">
        <v>0</v>
      </c>
      <c r="J1523">
        <v>7806.25</v>
      </c>
      <c r="K1523">
        <v>0</v>
      </c>
      <c r="L1523">
        <v>2025</v>
      </c>
    </row>
    <row r="1524" spans="1:12" x14ac:dyDescent="0.25">
      <c r="A1524" s="1" t="s">
        <v>1556</v>
      </c>
      <c r="B1524" s="1" t="s">
        <v>16</v>
      </c>
      <c r="C1524">
        <v>117</v>
      </c>
      <c r="D1524" s="1" t="s">
        <v>28</v>
      </c>
      <c r="E1524">
        <v>78908.509999999995</v>
      </c>
      <c r="F1524">
        <v>81641.64</v>
      </c>
      <c r="G1524">
        <v>21</v>
      </c>
      <c r="H1524">
        <v>36</v>
      </c>
      <c r="I1524">
        <v>61355.73</v>
      </c>
      <c r="J1524">
        <v>7055.78</v>
      </c>
      <c r="K1524">
        <v>0</v>
      </c>
      <c r="L1524">
        <v>2025</v>
      </c>
    </row>
    <row r="1525" spans="1:12" x14ac:dyDescent="0.25">
      <c r="A1525" s="1" t="s">
        <v>1557</v>
      </c>
      <c r="B1525" s="1" t="s">
        <v>16</v>
      </c>
      <c r="C1525">
        <v>99</v>
      </c>
      <c r="D1525" s="1" t="s">
        <v>28</v>
      </c>
      <c r="E1525">
        <v>79722.5</v>
      </c>
      <c r="F1525">
        <v>75579.899999999994</v>
      </c>
      <c r="G1525">
        <v>65</v>
      </c>
      <c r="H1525">
        <v>66</v>
      </c>
      <c r="I1525">
        <v>59522.54</v>
      </c>
      <c r="J1525">
        <v>10191.49</v>
      </c>
      <c r="K1525">
        <v>0</v>
      </c>
      <c r="L1525">
        <v>2025</v>
      </c>
    </row>
    <row r="1526" spans="1:12" x14ac:dyDescent="0.25">
      <c r="A1526" s="1" t="s">
        <v>1558</v>
      </c>
      <c r="B1526" s="1" t="s">
        <v>18</v>
      </c>
      <c r="C1526">
        <v>80</v>
      </c>
      <c r="D1526" s="1" t="s">
        <v>28</v>
      </c>
      <c r="E1526">
        <v>68085.210000000006</v>
      </c>
      <c r="F1526">
        <v>57549.72</v>
      </c>
      <c r="G1526">
        <v>28</v>
      </c>
      <c r="H1526">
        <v>48</v>
      </c>
      <c r="I1526">
        <v>57646.09</v>
      </c>
      <c r="J1526">
        <v>3443.37</v>
      </c>
      <c r="K1526">
        <v>0</v>
      </c>
      <c r="L1526">
        <v>2025</v>
      </c>
    </row>
    <row r="1527" spans="1:12" x14ac:dyDescent="0.25">
      <c r="A1527" s="1" t="s">
        <v>1559</v>
      </c>
      <c r="B1527" s="1" t="s">
        <v>17</v>
      </c>
      <c r="C1527">
        <v>103</v>
      </c>
      <c r="D1527" s="1" t="s">
        <v>28</v>
      </c>
      <c r="E1527">
        <v>76450.509999999995</v>
      </c>
      <c r="F1527">
        <v>68357.600000000006</v>
      </c>
      <c r="G1527">
        <v>51</v>
      </c>
      <c r="H1527">
        <v>51</v>
      </c>
      <c r="I1527">
        <v>39520.71</v>
      </c>
      <c r="J1527">
        <v>9214.7099999999991</v>
      </c>
      <c r="K1527">
        <v>0</v>
      </c>
      <c r="L1527">
        <v>2025</v>
      </c>
    </row>
    <row r="1528" spans="1:12" x14ac:dyDescent="0.25">
      <c r="A1528" s="1" t="s">
        <v>1560</v>
      </c>
      <c r="B1528" s="1" t="s">
        <v>17</v>
      </c>
      <c r="C1528">
        <v>17</v>
      </c>
      <c r="D1528" s="1" t="s">
        <v>671</v>
      </c>
      <c r="E1528">
        <v>6913</v>
      </c>
      <c r="F1528">
        <v>6996.82</v>
      </c>
      <c r="G1528">
        <v>42</v>
      </c>
      <c r="H1528">
        <v>50</v>
      </c>
      <c r="I1528">
        <v>48963.58</v>
      </c>
      <c r="J1528">
        <v>4409.93</v>
      </c>
      <c r="K1528">
        <v>0</v>
      </c>
      <c r="L1528">
        <v>2025</v>
      </c>
    </row>
    <row r="1529" spans="1:12" x14ac:dyDescent="0.25">
      <c r="A1529" s="1" t="s">
        <v>1561</v>
      </c>
      <c r="B1529" s="1" t="s">
        <v>12</v>
      </c>
      <c r="C1529">
        <v>63</v>
      </c>
      <c r="D1529" s="1" t="s">
        <v>671</v>
      </c>
      <c r="E1529">
        <v>49775.1</v>
      </c>
      <c r="F1529">
        <v>38224.589999999997</v>
      </c>
      <c r="G1529">
        <v>30</v>
      </c>
      <c r="H1529">
        <v>38</v>
      </c>
      <c r="I1529">
        <v>19064.560000000001</v>
      </c>
      <c r="J1529">
        <v>4762.22</v>
      </c>
      <c r="K1529">
        <v>0</v>
      </c>
      <c r="L1529">
        <v>2025</v>
      </c>
    </row>
    <row r="1530" spans="1:12" x14ac:dyDescent="0.25">
      <c r="A1530" s="1" t="s">
        <v>1562</v>
      </c>
      <c r="B1530" s="1" t="s">
        <v>15</v>
      </c>
      <c r="C1530">
        <v>114</v>
      </c>
      <c r="D1530" s="1" t="s">
        <v>671</v>
      </c>
      <c r="E1530">
        <v>100794.69</v>
      </c>
      <c r="F1530">
        <v>84328.1</v>
      </c>
      <c r="G1530">
        <v>13</v>
      </c>
      <c r="H1530">
        <v>27</v>
      </c>
      <c r="I1530">
        <v>42451.040000000001</v>
      </c>
      <c r="J1530">
        <v>1350.64</v>
      </c>
      <c r="K1530">
        <v>0</v>
      </c>
      <c r="L1530">
        <v>2025</v>
      </c>
    </row>
    <row r="1531" spans="1:12" x14ac:dyDescent="0.25">
      <c r="A1531" s="1" t="s">
        <v>1563</v>
      </c>
      <c r="B1531" s="1" t="s">
        <v>12</v>
      </c>
      <c r="C1531">
        <v>93</v>
      </c>
      <c r="D1531" s="1" t="s">
        <v>671</v>
      </c>
      <c r="E1531">
        <v>66210.3</v>
      </c>
      <c r="F1531">
        <v>70402.19</v>
      </c>
      <c r="G1531">
        <v>55</v>
      </c>
      <c r="H1531">
        <v>22</v>
      </c>
      <c r="I1531">
        <v>21794.94</v>
      </c>
      <c r="J1531">
        <v>1516.24</v>
      </c>
      <c r="K1531">
        <v>0</v>
      </c>
      <c r="L1531">
        <v>2025</v>
      </c>
    </row>
    <row r="1532" spans="1:12" x14ac:dyDescent="0.25">
      <c r="A1532" s="1" t="s">
        <v>1564</v>
      </c>
      <c r="B1532" s="1" t="s">
        <v>17</v>
      </c>
      <c r="C1532">
        <v>120</v>
      </c>
      <c r="D1532" s="1" t="s">
        <v>671</v>
      </c>
      <c r="E1532">
        <v>78560.33</v>
      </c>
      <c r="F1532">
        <v>80667.89</v>
      </c>
      <c r="G1532">
        <v>28</v>
      </c>
      <c r="H1532">
        <v>47</v>
      </c>
      <c r="I1532">
        <v>0</v>
      </c>
      <c r="J1532">
        <v>0</v>
      </c>
      <c r="K1532">
        <v>0</v>
      </c>
      <c r="L1532">
        <v>2025</v>
      </c>
    </row>
    <row r="1533" spans="1:12" x14ac:dyDescent="0.25">
      <c r="A1533" s="1" t="s">
        <v>1565</v>
      </c>
      <c r="B1533" s="1" t="s">
        <v>17</v>
      </c>
      <c r="C1533">
        <v>50</v>
      </c>
      <c r="D1533" s="1" t="s">
        <v>671</v>
      </c>
      <c r="E1533">
        <v>48150.559999999998</v>
      </c>
      <c r="F1533">
        <v>29040.59</v>
      </c>
      <c r="G1533">
        <v>41</v>
      </c>
      <c r="H1533">
        <v>48</v>
      </c>
      <c r="I1533">
        <v>90293.05</v>
      </c>
      <c r="J1533">
        <v>0</v>
      </c>
      <c r="K1533">
        <v>0</v>
      </c>
      <c r="L1533">
        <v>2025</v>
      </c>
    </row>
    <row r="1534" spans="1:12" x14ac:dyDescent="0.25">
      <c r="A1534" s="1" t="s">
        <v>1566</v>
      </c>
      <c r="B1534" s="1" t="s">
        <v>18</v>
      </c>
      <c r="C1534">
        <v>89</v>
      </c>
      <c r="D1534" s="1" t="s">
        <v>671</v>
      </c>
      <c r="E1534">
        <v>88387.04</v>
      </c>
      <c r="F1534">
        <v>94303.55</v>
      </c>
      <c r="G1534">
        <v>23</v>
      </c>
      <c r="H1534">
        <v>47</v>
      </c>
      <c r="I1534">
        <v>22768.05</v>
      </c>
      <c r="J1534">
        <v>5713.06</v>
      </c>
      <c r="K1534">
        <v>0</v>
      </c>
      <c r="L1534">
        <v>2025</v>
      </c>
    </row>
    <row r="1535" spans="1:12" x14ac:dyDescent="0.25">
      <c r="A1535" s="1" t="s">
        <v>1567</v>
      </c>
      <c r="B1535" s="1" t="s">
        <v>14</v>
      </c>
      <c r="C1535">
        <v>22</v>
      </c>
      <c r="D1535" s="1" t="s">
        <v>671</v>
      </c>
      <c r="E1535">
        <v>38404.32</v>
      </c>
      <c r="F1535">
        <v>29741.63</v>
      </c>
      <c r="G1535">
        <v>49</v>
      </c>
      <c r="H1535">
        <v>55</v>
      </c>
      <c r="I1535">
        <v>49104.88</v>
      </c>
      <c r="J1535">
        <v>8032.58</v>
      </c>
      <c r="K1535">
        <v>0</v>
      </c>
      <c r="L1535">
        <v>2025</v>
      </c>
    </row>
    <row r="1536" spans="1:12" x14ac:dyDescent="0.25">
      <c r="A1536" s="1" t="s">
        <v>1568</v>
      </c>
      <c r="B1536" s="1" t="s">
        <v>15</v>
      </c>
      <c r="C1536">
        <v>3</v>
      </c>
      <c r="D1536" s="1" t="s">
        <v>671</v>
      </c>
      <c r="E1536">
        <v>4555.78</v>
      </c>
      <c r="F1536">
        <v>3947.35</v>
      </c>
      <c r="G1536">
        <v>67</v>
      </c>
      <c r="H1536">
        <v>44</v>
      </c>
      <c r="I1536">
        <v>4020.82</v>
      </c>
      <c r="J1536">
        <v>215.91</v>
      </c>
      <c r="K1536">
        <v>0</v>
      </c>
      <c r="L1536">
        <v>2025</v>
      </c>
    </row>
    <row r="1537" spans="1:12" x14ac:dyDescent="0.25">
      <c r="A1537" s="1" t="s">
        <v>1569</v>
      </c>
      <c r="B1537" s="1" t="s">
        <v>18</v>
      </c>
      <c r="C1537">
        <v>107</v>
      </c>
      <c r="D1537" s="1" t="s">
        <v>671</v>
      </c>
      <c r="E1537">
        <v>95372.07</v>
      </c>
      <c r="F1537">
        <v>76158.89</v>
      </c>
      <c r="G1537">
        <v>61</v>
      </c>
      <c r="H1537">
        <v>34</v>
      </c>
      <c r="I1537">
        <v>83877.899999999994</v>
      </c>
      <c r="J1537">
        <v>5093.3</v>
      </c>
      <c r="K1537">
        <v>0</v>
      </c>
      <c r="L1537">
        <v>2025</v>
      </c>
    </row>
    <row r="1538" spans="1:12" x14ac:dyDescent="0.25">
      <c r="A1538" s="1" t="s">
        <v>1570</v>
      </c>
      <c r="B1538" s="1" t="s">
        <v>14</v>
      </c>
      <c r="C1538">
        <v>84</v>
      </c>
      <c r="D1538" s="1" t="s">
        <v>671</v>
      </c>
      <c r="E1538">
        <v>77439.17</v>
      </c>
      <c r="F1538">
        <v>48347.839999999997</v>
      </c>
      <c r="G1538">
        <v>17</v>
      </c>
      <c r="H1538">
        <v>0</v>
      </c>
      <c r="I1538">
        <v>50627.34</v>
      </c>
      <c r="J1538">
        <v>1336.89</v>
      </c>
      <c r="K1538">
        <v>1</v>
      </c>
      <c r="L1538">
        <v>2025</v>
      </c>
    </row>
    <row r="1539" spans="1:12" x14ac:dyDescent="0.25">
      <c r="A1539" s="1" t="s">
        <v>1571</v>
      </c>
      <c r="B1539" s="1" t="s">
        <v>17</v>
      </c>
      <c r="C1539">
        <v>101</v>
      </c>
      <c r="D1539" s="1" t="s">
        <v>671</v>
      </c>
      <c r="E1539">
        <v>68096.38</v>
      </c>
      <c r="F1539">
        <v>43642.13</v>
      </c>
      <c r="G1539">
        <v>18</v>
      </c>
      <c r="H1539">
        <v>29</v>
      </c>
      <c r="I1539">
        <v>41299.96</v>
      </c>
      <c r="J1539">
        <v>0</v>
      </c>
      <c r="K1539">
        <v>1</v>
      </c>
      <c r="L1539">
        <v>2025</v>
      </c>
    </row>
    <row r="1540" spans="1:12" x14ac:dyDescent="0.25">
      <c r="A1540" s="1" t="s">
        <v>1572</v>
      </c>
      <c r="B1540" s="1" t="s">
        <v>16</v>
      </c>
      <c r="C1540">
        <v>18</v>
      </c>
      <c r="D1540" s="1" t="s">
        <v>671</v>
      </c>
      <c r="E1540">
        <v>18968.509999999998</v>
      </c>
      <c r="F1540">
        <v>16335.71</v>
      </c>
      <c r="G1540">
        <v>17</v>
      </c>
      <c r="H1540">
        <v>45</v>
      </c>
      <c r="I1540">
        <v>69878.95</v>
      </c>
      <c r="J1540">
        <v>0</v>
      </c>
      <c r="K1540">
        <v>1</v>
      </c>
      <c r="L1540">
        <v>2025</v>
      </c>
    </row>
    <row r="1541" spans="1:12" x14ac:dyDescent="0.25">
      <c r="A1541" s="1" t="s">
        <v>1573</v>
      </c>
      <c r="B1541" s="1" t="s">
        <v>14</v>
      </c>
      <c r="C1541">
        <v>104</v>
      </c>
      <c r="D1541" s="1" t="s">
        <v>671</v>
      </c>
      <c r="E1541">
        <v>93604.29</v>
      </c>
      <c r="F1541">
        <v>83293.73</v>
      </c>
      <c r="G1541">
        <v>37</v>
      </c>
      <c r="H1541">
        <v>17</v>
      </c>
      <c r="I1541">
        <v>55063.040000000001</v>
      </c>
      <c r="J1541">
        <v>5399.4</v>
      </c>
      <c r="K1541">
        <v>0</v>
      </c>
      <c r="L1541">
        <v>2025</v>
      </c>
    </row>
    <row r="1542" spans="1:12" x14ac:dyDescent="0.25">
      <c r="A1542" s="1" t="s">
        <v>1574</v>
      </c>
      <c r="B1542" s="1" t="s">
        <v>17</v>
      </c>
      <c r="C1542">
        <v>105</v>
      </c>
      <c r="D1542" s="1" t="s">
        <v>671</v>
      </c>
      <c r="E1542">
        <v>85626.3</v>
      </c>
      <c r="F1542">
        <v>86495.55</v>
      </c>
      <c r="G1542">
        <v>41</v>
      </c>
      <c r="H1542">
        <v>56</v>
      </c>
      <c r="I1542">
        <v>26083.48</v>
      </c>
      <c r="J1542">
        <v>2730.8</v>
      </c>
      <c r="K1542">
        <v>1</v>
      </c>
      <c r="L1542">
        <v>2025</v>
      </c>
    </row>
    <row r="1543" spans="1:12" x14ac:dyDescent="0.25">
      <c r="A1543" s="1" t="s">
        <v>1575</v>
      </c>
      <c r="B1543" s="1" t="s">
        <v>18</v>
      </c>
      <c r="C1543">
        <v>69</v>
      </c>
      <c r="D1543" s="1" t="s">
        <v>671</v>
      </c>
      <c r="E1543">
        <v>55650.98</v>
      </c>
      <c r="F1543">
        <v>43950.71</v>
      </c>
      <c r="G1543">
        <v>45</v>
      </c>
      <c r="H1543">
        <v>20</v>
      </c>
      <c r="I1543">
        <v>43791</v>
      </c>
      <c r="J1543">
        <v>5775.49</v>
      </c>
      <c r="K1543">
        <v>0</v>
      </c>
      <c r="L1543">
        <v>2025</v>
      </c>
    </row>
    <row r="1544" spans="1:12" x14ac:dyDescent="0.25">
      <c r="A1544" s="1" t="s">
        <v>1576</v>
      </c>
      <c r="B1544" s="1" t="s">
        <v>12</v>
      </c>
      <c r="C1544">
        <v>24</v>
      </c>
      <c r="D1544" s="1" t="s">
        <v>671</v>
      </c>
      <c r="E1544">
        <v>27201.71</v>
      </c>
      <c r="F1544">
        <v>24735.93</v>
      </c>
      <c r="G1544">
        <v>45</v>
      </c>
      <c r="H1544">
        <v>13</v>
      </c>
      <c r="I1544">
        <v>51963.77</v>
      </c>
      <c r="J1544">
        <v>0</v>
      </c>
      <c r="K1544">
        <v>1</v>
      </c>
      <c r="L1544">
        <v>2025</v>
      </c>
    </row>
    <row r="1545" spans="1:12" x14ac:dyDescent="0.25">
      <c r="A1545" s="1" t="s">
        <v>1577</v>
      </c>
      <c r="B1545" s="1" t="s">
        <v>16</v>
      </c>
      <c r="C1545">
        <v>52</v>
      </c>
      <c r="D1545" s="1" t="s">
        <v>671</v>
      </c>
      <c r="E1545">
        <v>44501.18</v>
      </c>
      <c r="F1545">
        <v>35012.86</v>
      </c>
      <c r="G1545">
        <v>45</v>
      </c>
      <c r="H1545">
        <v>46</v>
      </c>
      <c r="I1545">
        <v>73893.31</v>
      </c>
      <c r="J1545">
        <v>6139.31</v>
      </c>
      <c r="K1545">
        <v>1</v>
      </c>
      <c r="L1545">
        <v>2025</v>
      </c>
    </row>
    <row r="1546" spans="1:12" x14ac:dyDescent="0.25">
      <c r="A1546" s="1" t="s">
        <v>1578</v>
      </c>
      <c r="B1546" s="1" t="s">
        <v>18</v>
      </c>
      <c r="C1546">
        <v>97</v>
      </c>
      <c r="D1546" s="1" t="s">
        <v>671</v>
      </c>
      <c r="E1546">
        <v>77971.41</v>
      </c>
      <c r="F1546">
        <v>79096.649999999994</v>
      </c>
      <c r="G1546">
        <v>37</v>
      </c>
      <c r="H1546">
        <v>16</v>
      </c>
      <c r="I1546">
        <v>43506.49</v>
      </c>
      <c r="J1546">
        <v>2178.3200000000002</v>
      </c>
      <c r="K1546">
        <v>1</v>
      </c>
      <c r="L1546">
        <v>2025</v>
      </c>
    </row>
    <row r="1547" spans="1:12" x14ac:dyDescent="0.25">
      <c r="A1547" s="1" t="s">
        <v>1579</v>
      </c>
      <c r="B1547" s="1" t="s">
        <v>14</v>
      </c>
      <c r="C1547">
        <v>102</v>
      </c>
      <c r="D1547" s="1" t="s">
        <v>671</v>
      </c>
      <c r="E1547">
        <v>77676.44</v>
      </c>
      <c r="F1547">
        <v>54381.45</v>
      </c>
      <c r="G1547">
        <v>49</v>
      </c>
      <c r="H1547">
        <v>22</v>
      </c>
      <c r="I1547">
        <v>75173.350000000006</v>
      </c>
      <c r="J1547">
        <v>6384.6</v>
      </c>
      <c r="K1547">
        <v>0</v>
      </c>
      <c r="L1547">
        <v>2025</v>
      </c>
    </row>
    <row r="1548" spans="1:12" x14ac:dyDescent="0.25">
      <c r="A1548" s="1" t="s">
        <v>1580</v>
      </c>
      <c r="B1548" s="1" t="s">
        <v>16</v>
      </c>
      <c r="C1548">
        <v>15</v>
      </c>
      <c r="D1548" s="1" t="s">
        <v>671</v>
      </c>
      <c r="E1548">
        <v>21422.02</v>
      </c>
      <c r="F1548">
        <v>15156.2</v>
      </c>
      <c r="G1548">
        <v>46</v>
      </c>
      <c r="H1548">
        <v>35</v>
      </c>
      <c r="I1548">
        <v>49189.85</v>
      </c>
      <c r="J1548">
        <v>5326.04</v>
      </c>
      <c r="K1548">
        <v>0</v>
      </c>
      <c r="L1548">
        <v>2025</v>
      </c>
    </row>
    <row r="1549" spans="1:12" x14ac:dyDescent="0.25">
      <c r="A1549" s="1" t="s">
        <v>1581</v>
      </c>
      <c r="B1549" s="1" t="s">
        <v>18</v>
      </c>
      <c r="C1549">
        <v>71</v>
      </c>
      <c r="D1549" s="1" t="s">
        <v>671</v>
      </c>
      <c r="E1549">
        <v>56547.14</v>
      </c>
      <c r="F1549">
        <v>39242.83</v>
      </c>
      <c r="G1549">
        <v>43</v>
      </c>
      <c r="H1549">
        <v>29</v>
      </c>
      <c r="I1549">
        <v>51596.66</v>
      </c>
      <c r="J1549">
        <v>7031.7</v>
      </c>
      <c r="K1549">
        <v>0</v>
      </c>
      <c r="L1549">
        <v>2025</v>
      </c>
    </row>
    <row r="1550" spans="1:12" x14ac:dyDescent="0.25">
      <c r="A1550" s="1" t="s">
        <v>1582</v>
      </c>
      <c r="B1550" s="1" t="s">
        <v>16</v>
      </c>
      <c r="C1550">
        <v>95</v>
      </c>
      <c r="D1550" s="1" t="s">
        <v>671</v>
      </c>
      <c r="E1550">
        <v>81438.240000000005</v>
      </c>
      <c r="F1550">
        <v>69073.81</v>
      </c>
      <c r="G1550">
        <v>53</v>
      </c>
      <c r="H1550">
        <v>30</v>
      </c>
      <c r="I1550">
        <v>30589.98</v>
      </c>
      <c r="J1550">
        <v>1192.8900000000001</v>
      </c>
      <c r="K1550">
        <v>0</v>
      </c>
      <c r="L1550">
        <v>2025</v>
      </c>
    </row>
    <row r="1551" spans="1:12" x14ac:dyDescent="0.25">
      <c r="A1551" s="1" t="s">
        <v>1583</v>
      </c>
      <c r="B1551" s="1" t="s">
        <v>18</v>
      </c>
      <c r="C1551">
        <v>38</v>
      </c>
      <c r="D1551" s="1" t="s">
        <v>671</v>
      </c>
      <c r="E1551">
        <v>22659.95</v>
      </c>
      <c r="F1551">
        <v>19057.78</v>
      </c>
      <c r="G1551">
        <v>16</v>
      </c>
      <c r="H1551">
        <v>46</v>
      </c>
      <c r="I1551">
        <v>28696.48</v>
      </c>
      <c r="J1551">
        <v>9801.0400000000009</v>
      </c>
      <c r="K1551">
        <v>0</v>
      </c>
      <c r="L1551">
        <v>2025</v>
      </c>
    </row>
    <row r="1552" spans="1:12" x14ac:dyDescent="0.25">
      <c r="A1552" s="1" t="s">
        <v>1584</v>
      </c>
      <c r="B1552" s="1" t="s">
        <v>15</v>
      </c>
      <c r="C1552">
        <v>119</v>
      </c>
      <c r="D1552" s="1" t="s">
        <v>671</v>
      </c>
      <c r="E1552">
        <v>90411.49</v>
      </c>
      <c r="F1552">
        <v>62311.26</v>
      </c>
      <c r="G1552">
        <v>43</v>
      </c>
      <c r="H1552">
        <v>16</v>
      </c>
      <c r="I1552">
        <v>35387.78</v>
      </c>
      <c r="J1552">
        <v>204.73</v>
      </c>
      <c r="K1552">
        <v>0</v>
      </c>
      <c r="L1552">
        <v>2025</v>
      </c>
    </row>
    <row r="1553" spans="1:12" x14ac:dyDescent="0.25">
      <c r="A1553" s="1" t="s">
        <v>1585</v>
      </c>
      <c r="B1553" s="1" t="s">
        <v>12</v>
      </c>
      <c r="C1553">
        <v>94</v>
      </c>
      <c r="D1553" s="1" t="s">
        <v>671</v>
      </c>
      <c r="E1553">
        <v>84467.17</v>
      </c>
      <c r="F1553">
        <v>57289.18</v>
      </c>
      <c r="G1553">
        <v>31</v>
      </c>
      <c r="H1553">
        <v>36</v>
      </c>
      <c r="I1553">
        <v>35697.279999999999</v>
      </c>
      <c r="J1553">
        <v>3241.17</v>
      </c>
      <c r="K1553">
        <v>0</v>
      </c>
      <c r="L1553">
        <v>2025</v>
      </c>
    </row>
    <row r="1554" spans="1:12" x14ac:dyDescent="0.25">
      <c r="A1554" s="1" t="s">
        <v>1586</v>
      </c>
      <c r="B1554" s="1" t="s">
        <v>14</v>
      </c>
      <c r="C1554">
        <v>96</v>
      </c>
      <c r="D1554" s="1" t="s">
        <v>671</v>
      </c>
      <c r="E1554">
        <v>77694.89</v>
      </c>
      <c r="F1554">
        <v>62200.55</v>
      </c>
      <c r="G1554">
        <v>19</v>
      </c>
      <c r="H1554">
        <v>0</v>
      </c>
      <c r="I1554">
        <v>58962.09</v>
      </c>
      <c r="J1554">
        <v>600.84</v>
      </c>
      <c r="K1554">
        <v>0</v>
      </c>
      <c r="L1554">
        <v>2025</v>
      </c>
    </row>
    <row r="1555" spans="1:12" x14ac:dyDescent="0.25">
      <c r="A1555" s="1" t="s">
        <v>1587</v>
      </c>
      <c r="B1555" s="1" t="s">
        <v>18</v>
      </c>
      <c r="C1555">
        <v>109</v>
      </c>
      <c r="D1555" s="1" t="s">
        <v>671</v>
      </c>
      <c r="E1555">
        <v>82245.759999999995</v>
      </c>
      <c r="F1555">
        <v>65298.18</v>
      </c>
      <c r="G1555">
        <v>45</v>
      </c>
      <c r="H1555">
        <v>45</v>
      </c>
      <c r="I1555">
        <v>29359.01</v>
      </c>
      <c r="J1555">
        <v>11644.06</v>
      </c>
      <c r="K1555">
        <v>0</v>
      </c>
      <c r="L1555">
        <v>2025</v>
      </c>
    </row>
    <row r="1556" spans="1:12" x14ac:dyDescent="0.25">
      <c r="A1556" s="1" t="s">
        <v>1588</v>
      </c>
      <c r="B1556" s="1" t="s">
        <v>17</v>
      </c>
      <c r="C1556">
        <v>97</v>
      </c>
      <c r="D1556" s="1" t="s">
        <v>671</v>
      </c>
      <c r="E1556">
        <v>73879.28</v>
      </c>
      <c r="F1556">
        <v>77200.62</v>
      </c>
      <c r="G1556">
        <v>45</v>
      </c>
      <c r="H1556">
        <v>41</v>
      </c>
      <c r="I1556">
        <v>38003.480000000003</v>
      </c>
      <c r="J1556">
        <v>1553.72</v>
      </c>
      <c r="K1556">
        <v>1</v>
      </c>
      <c r="L1556">
        <v>2025</v>
      </c>
    </row>
    <row r="1557" spans="1:12" x14ac:dyDescent="0.25">
      <c r="A1557" s="1" t="s">
        <v>1589</v>
      </c>
      <c r="B1557" s="1" t="s">
        <v>12</v>
      </c>
      <c r="C1557">
        <v>51</v>
      </c>
      <c r="D1557" s="1" t="s">
        <v>671</v>
      </c>
      <c r="E1557">
        <v>47588.54</v>
      </c>
      <c r="F1557">
        <v>46306.49</v>
      </c>
      <c r="G1557">
        <v>49</v>
      </c>
      <c r="H1557">
        <v>54</v>
      </c>
      <c r="I1557">
        <v>70788.94</v>
      </c>
      <c r="J1557">
        <v>10836.99</v>
      </c>
      <c r="K1557">
        <v>1</v>
      </c>
      <c r="L1557">
        <v>2025</v>
      </c>
    </row>
    <row r="1558" spans="1:12" x14ac:dyDescent="0.25">
      <c r="A1558" s="1" t="s">
        <v>1590</v>
      </c>
      <c r="B1558" s="1" t="s">
        <v>12</v>
      </c>
      <c r="C1558">
        <v>55</v>
      </c>
      <c r="D1558" s="1" t="s">
        <v>671</v>
      </c>
      <c r="E1558">
        <v>49797.96</v>
      </c>
      <c r="F1558">
        <v>41441.61</v>
      </c>
      <c r="G1558">
        <v>45</v>
      </c>
      <c r="H1558">
        <v>12</v>
      </c>
      <c r="I1558">
        <v>48235.34</v>
      </c>
      <c r="J1558">
        <v>8540.08</v>
      </c>
      <c r="K1558">
        <v>0</v>
      </c>
      <c r="L1558">
        <v>2025</v>
      </c>
    </row>
    <row r="1559" spans="1:12" x14ac:dyDescent="0.25">
      <c r="A1559" s="1" t="s">
        <v>1591</v>
      </c>
      <c r="B1559" s="1" t="s">
        <v>18</v>
      </c>
      <c r="C1559">
        <v>106</v>
      </c>
      <c r="D1559" s="1" t="s">
        <v>671</v>
      </c>
      <c r="E1559">
        <v>91460.2</v>
      </c>
      <c r="F1559">
        <v>75118.37</v>
      </c>
      <c r="G1559">
        <v>42</v>
      </c>
      <c r="H1559">
        <v>24</v>
      </c>
      <c r="I1559">
        <v>57969.83</v>
      </c>
      <c r="J1559">
        <v>6836.54</v>
      </c>
      <c r="K1559">
        <v>0</v>
      </c>
      <c r="L1559">
        <v>2025</v>
      </c>
    </row>
    <row r="1560" spans="1:12" x14ac:dyDescent="0.25">
      <c r="A1560" s="1" t="s">
        <v>1592</v>
      </c>
      <c r="B1560" s="1" t="s">
        <v>15</v>
      </c>
      <c r="C1560">
        <v>104</v>
      </c>
      <c r="D1560" s="1" t="s">
        <v>671</v>
      </c>
      <c r="E1560">
        <v>80030.58</v>
      </c>
      <c r="F1560">
        <v>84250.3</v>
      </c>
      <c r="G1560">
        <v>32</v>
      </c>
      <c r="H1560">
        <v>22</v>
      </c>
      <c r="I1560">
        <v>20693.29</v>
      </c>
      <c r="J1560">
        <v>2903.31</v>
      </c>
      <c r="K1560">
        <v>0</v>
      </c>
      <c r="L1560">
        <v>2025</v>
      </c>
    </row>
    <row r="1561" spans="1:12" x14ac:dyDescent="0.25">
      <c r="A1561" s="1" t="s">
        <v>1593</v>
      </c>
      <c r="B1561" s="1" t="s">
        <v>14</v>
      </c>
      <c r="C1561">
        <v>4</v>
      </c>
      <c r="D1561" s="1" t="s">
        <v>671</v>
      </c>
      <c r="E1561">
        <v>4000</v>
      </c>
      <c r="F1561">
        <v>3998.96</v>
      </c>
      <c r="G1561">
        <v>43</v>
      </c>
      <c r="H1561">
        <v>16</v>
      </c>
      <c r="I1561">
        <v>63601.86</v>
      </c>
      <c r="J1561">
        <v>0</v>
      </c>
      <c r="K1561">
        <v>1</v>
      </c>
      <c r="L1561">
        <v>2025</v>
      </c>
    </row>
    <row r="1562" spans="1:12" x14ac:dyDescent="0.25">
      <c r="A1562" s="1" t="s">
        <v>1594</v>
      </c>
      <c r="B1562" s="1" t="s">
        <v>16</v>
      </c>
      <c r="C1562">
        <v>56</v>
      </c>
      <c r="D1562" s="1" t="s">
        <v>671</v>
      </c>
      <c r="E1562">
        <v>56594.02</v>
      </c>
      <c r="F1562">
        <v>59128.7</v>
      </c>
      <c r="G1562">
        <v>34</v>
      </c>
      <c r="H1562">
        <v>49</v>
      </c>
      <c r="I1562">
        <v>48765.88</v>
      </c>
      <c r="J1562">
        <v>5651.97</v>
      </c>
      <c r="K1562">
        <v>1</v>
      </c>
      <c r="L1562">
        <v>2025</v>
      </c>
    </row>
    <row r="1563" spans="1:12" x14ac:dyDescent="0.25">
      <c r="A1563" s="1" t="s">
        <v>1595</v>
      </c>
      <c r="B1563" s="1" t="s">
        <v>16</v>
      </c>
      <c r="C1563">
        <v>112</v>
      </c>
      <c r="D1563" s="1" t="s">
        <v>671</v>
      </c>
      <c r="E1563">
        <v>83763.02</v>
      </c>
      <c r="F1563">
        <v>81037.83</v>
      </c>
      <c r="G1563">
        <v>31</v>
      </c>
      <c r="H1563">
        <v>25</v>
      </c>
      <c r="I1563">
        <v>36034.6</v>
      </c>
      <c r="J1563">
        <v>10985.31</v>
      </c>
      <c r="K1563">
        <v>0</v>
      </c>
      <c r="L1563">
        <v>2025</v>
      </c>
    </row>
    <row r="1564" spans="1:12" x14ac:dyDescent="0.25">
      <c r="A1564" s="1" t="s">
        <v>1596</v>
      </c>
      <c r="B1564" s="1" t="s">
        <v>12</v>
      </c>
      <c r="C1564">
        <v>50</v>
      </c>
      <c r="D1564" s="1" t="s">
        <v>671</v>
      </c>
      <c r="E1564">
        <v>38905.74</v>
      </c>
      <c r="F1564">
        <v>41560.03</v>
      </c>
      <c r="G1564">
        <v>21</v>
      </c>
      <c r="H1564">
        <v>31</v>
      </c>
      <c r="I1564">
        <v>31755.64</v>
      </c>
      <c r="J1564">
        <v>4941.29</v>
      </c>
      <c r="K1564">
        <v>0</v>
      </c>
      <c r="L1564">
        <v>2025</v>
      </c>
    </row>
    <row r="1565" spans="1:12" x14ac:dyDescent="0.25">
      <c r="A1565" s="1" t="s">
        <v>1597</v>
      </c>
      <c r="B1565" s="1" t="s">
        <v>18</v>
      </c>
      <c r="C1565">
        <v>72</v>
      </c>
      <c r="D1565" s="1" t="s">
        <v>671</v>
      </c>
      <c r="E1565">
        <v>60315.16</v>
      </c>
      <c r="F1565">
        <v>51043</v>
      </c>
      <c r="G1565">
        <v>47</v>
      </c>
      <c r="H1565">
        <v>44</v>
      </c>
      <c r="I1565">
        <v>65400.01</v>
      </c>
      <c r="J1565">
        <v>2082.25</v>
      </c>
      <c r="K1565">
        <v>0</v>
      </c>
      <c r="L1565">
        <v>2025</v>
      </c>
    </row>
    <row r="1566" spans="1:12" x14ac:dyDescent="0.25">
      <c r="A1566" s="1" t="s">
        <v>1598</v>
      </c>
      <c r="B1566" s="1" t="s">
        <v>18</v>
      </c>
      <c r="C1566">
        <v>10</v>
      </c>
      <c r="D1566" s="1" t="s">
        <v>671</v>
      </c>
      <c r="E1566">
        <v>22463.01</v>
      </c>
      <c r="F1566">
        <v>24190.57</v>
      </c>
      <c r="G1566">
        <v>12</v>
      </c>
      <c r="H1566">
        <v>8</v>
      </c>
      <c r="I1566">
        <v>0</v>
      </c>
      <c r="J1566">
        <v>2736.11</v>
      </c>
      <c r="K1566">
        <v>0</v>
      </c>
      <c r="L1566">
        <v>2025</v>
      </c>
    </row>
    <row r="1567" spans="1:12" x14ac:dyDescent="0.25">
      <c r="A1567" s="1" t="s">
        <v>1599</v>
      </c>
      <c r="B1567" s="1" t="s">
        <v>18</v>
      </c>
      <c r="C1567">
        <v>62</v>
      </c>
      <c r="D1567" s="1" t="s">
        <v>671</v>
      </c>
      <c r="E1567">
        <v>41056.800000000003</v>
      </c>
      <c r="F1567">
        <v>32557.11</v>
      </c>
      <c r="G1567">
        <v>23</v>
      </c>
      <c r="H1567">
        <v>25</v>
      </c>
      <c r="I1567">
        <v>0</v>
      </c>
      <c r="J1567">
        <v>3316.8</v>
      </c>
      <c r="K1567">
        <v>0</v>
      </c>
      <c r="L1567">
        <v>2025</v>
      </c>
    </row>
    <row r="1568" spans="1:12" x14ac:dyDescent="0.25">
      <c r="A1568" s="1" t="s">
        <v>1600</v>
      </c>
      <c r="B1568" s="1" t="s">
        <v>14</v>
      </c>
      <c r="C1568">
        <v>18</v>
      </c>
      <c r="D1568" s="1" t="s">
        <v>671</v>
      </c>
      <c r="E1568">
        <v>25951.8</v>
      </c>
      <c r="F1568">
        <v>24543.57</v>
      </c>
      <c r="G1568">
        <v>35</v>
      </c>
      <c r="H1568">
        <v>26</v>
      </c>
      <c r="I1568">
        <v>109485.48</v>
      </c>
      <c r="J1568">
        <v>0</v>
      </c>
      <c r="K1568">
        <v>0</v>
      </c>
      <c r="L1568">
        <v>2025</v>
      </c>
    </row>
    <row r="1569" spans="1:12" x14ac:dyDescent="0.25">
      <c r="A1569" s="1" t="s">
        <v>1601</v>
      </c>
      <c r="B1569" s="1" t="s">
        <v>16</v>
      </c>
      <c r="C1569">
        <v>7</v>
      </c>
      <c r="D1569" s="1" t="s">
        <v>671</v>
      </c>
      <c r="E1569">
        <v>17293.25</v>
      </c>
      <c r="F1569">
        <v>10616.65</v>
      </c>
      <c r="G1569">
        <v>28</v>
      </c>
      <c r="H1569">
        <v>72</v>
      </c>
      <c r="I1569">
        <v>36397.39</v>
      </c>
      <c r="J1569">
        <v>659.39</v>
      </c>
      <c r="K1569">
        <v>0</v>
      </c>
      <c r="L1569">
        <v>2025</v>
      </c>
    </row>
    <row r="1570" spans="1:12" x14ac:dyDescent="0.25">
      <c r="A1570" s="1" t="s">
        <v>1602</v>
      </c>
      <c r="B1570" s="1" t="s">
        <v>17</v>
      </c>
      <c r="C1570">
        <v>15</v>
      </c>
      <c r="D1570" s="1" t="s">
        <v>671</v>
      </c>
      <c r="E1570">
        <v>29073.599999999999</v>
      </c>
      <c r="F1570">
        <v>22634.42</v>
      </c>
      <c r="G1570">
        <v>23</v>
      </c>
      <c r="H1570">
        <v>17</v>
      </c>
      <c r="I1570">
        <v>59254.44</v>
      </c>
      <c r="J1570">
        <v>0</v>
      </c>
      <c r="K1570">
        <v>0</v>
      </c>
      <c r="L1570">
        <v>2025</v>
      </c>
    </row>
    <row r="1571" spans="1:12" x14ac:dyDescent="0.25">
      <c r="A1571" s="1" t="s">
        <v>1603</v>
      </c>
      <c r="B1571" s="1" t="s">
        <v>12</v>
      </c>
      <c r="C1571">
        <v>86</v>
      </c>
      <c r="D1571" s="1" t="s">
        <v>671</v>
      </c>
      <c r="E1571">
        <v>63119.58</v>
      </c>
      <c r="F1571">
        <v>42683.41</v>
      </c>
      <c r="G1571">
        <v>51</v>
      </c>
      <c r="H1571">
        <v>7</v>
      </c>
      <c r="I1571">
        <v>31877.95</v>
      </c>
      <c r="J1571">
        <v>10921.45</v>
      </c>
      <c r="K1571">
        <v>0</v>
      </c>
      <c r="L1571">
        <v>2025</v>
      </c>
    </row>
    <row r="1572" spans="1:12" x14ac:dyDescent="0.25">
      <c r="A1572" s="1" t="s">
        <v>1604</v>
      </c>
      <c r="B1572" s="1" t="s">
        <v>18</v>
      </c>
      <c r="C1572">
        <v>87</v>
      </c>
      <c r="D1572" s="1" t="s">
        <v>671</v>
      </c>
      <c r="E1572">
        <v>86205.41</v>
      </c>
      <c r="F1572">
        <v>61523.29</v>
      </c>
      <c r="G1572">
        <v>62</v>
      </c>
      <c r="H1572">
        <v>33</v>
      </c>
      <c r="I1572">
        <v>3676.33</v>
      </c>
      <c r="J1572">
        <v>4188.37</v>
      </c>
      <c r="K1572">
        <v>0</v>
      </c>
      <c r="L1572">
        <v>2025</v>
      </c>
    </row>
    <row r="1573" spans="1:12" x14ac:dyDescent="0.25">
      <c r="A1573" s="1" t="s">
        <v>1605</v>
      </c>
      <c r="B1573" s="1" t="s">
        <v>17</v>
      </c>
      <c r="C1573">
        <v>66</v>
      </c>
      <c r="D1573" s="1" t="s">
        <v>671</v>
      </c>
      <c r="E1573">
        <v>65594.64</v>
      </c>
      <c r="F1573">
        <v>55001.85</v>
      </c>
      <c r="G1573">
        <v>47</v>
      </c>
      <c r="H1573">
        <v>27</v>
      </c>
      <c r="I1573">
        <v>26481.97</v>
      </c>
      <c r="J1573">
        <v>10622.6</v>
      </c>
      <c r="K1573">
        <v>0</v>
      </c>
      <c r="L1573">
        <v>2025</v>
      </c>
    </row>
    <row r="1574" spans="1:12" x14ac:dyDescent="0.25">
      <c r="A1574" s="1" t="s">
        <v>1606</v>
      </c>
      <c r="B1574" s="1" t="s">
        <v>16</v>
      </c>
      <c r="C1574">
        <v>89</v>
      </c>
      <c r="D1574" s="1" t="s">
        <v>671</v>
      </c>
      <c r="E1574">
        <v>95212.25</v>
      </c>
      <c r="F1574">
        <v>73207.03</v>
      </c>
      <c r="G1574">
        <v>44</v>
      </c>
      <c r="H1574">
        <v>54</v>
      </c>
      <c r="I1574">
        <v>22356.14</v>
      </c>
      <c r="J1574">
        <v>4536.6400000000003</v>
      </c>
      <c r="K1574">
        <v>0</v>
      </c>
      <c r="L1574">
        <v>2025</v>
      </c>
    </row>
    <row r="1575" spans="1:12" x14ac:dyDescent="0.25">
      <c r="A1575" s="1" t="s">
        <v>1607</v>
      </c>
      <c r="B1575" s="1" t="s">
        <v>12</v>
      </c>
      <c r="C1575">
        <v>89</v>
      </c>
      <c r="D1575" s="1" t="s">
        <v>671</v>
      </c>
      <c r="E1575">
        <v>68068.42</v>
      </c>
      <c r="F1575">
        <v>66766.53</v>
      </c>
      <c r="G1575">
        <v>43</v>
      </c>
      <c r="H1575">
        <v>0</v>
      </c>
      <c r="I1575">
        <v>54812.160000000003</v>
      </c>
      <c r="J1575">
        <v>7851.14</v>
      </c>
      <c r="K1575">
        <v>0</v>
      </c>
      <c r="L1575">
        <v>2025</v>
      </c>
    </row>
    <row r="1576" spans="1:12" x14ac:dyDescent="0.25">
      <c r="A1576" s="1" t="s">
        <v>1608</v>
      </c>
      <c r="B1576" s="1" t="s">
        <v>16</v>
      </c>
      <c r="C1576">
        <v>52</v>
      </c>
      <c r="D1576" s="1" t="s">
        <v>671</v>
      </c>
      <c r="E1576">
        <v>45064.72</v>
      </c>
      <c r="F1576">
        <v>33963.75</v>
      </c>
      <c r="G1576">
        <v>35</v>
      </c>
      <c r="H1576">
        <v>68</v>
      </c>
      <c r="I1576">
        <v>44233.81</v>
      </c>
      <c r="J1576">
        <v>0</v>
      </c>
      <c r="K1576">
        <v>0</v>
      </c>
      <c r="L1576">
        <v>2025</v>
      </c>
    </row>
    <row r="1577" spans="1:12" x14ac:dyDescent="0.25">
      <c r="A1577" s="1" t="s">
        <v>1609</v>
      </c>
      <c r="B1577" s="1" t="s">
        <v>14</v>
      </c>
      <c r="C1577">
        <v>108</v>
      </c>
      <c r="D1577" s="1" t="s">
        <v>671</v>
      </c>
      <c r="E1577">
        <v>97974.28</v>
      </c>
      <c r="F1577">
        <v>93636.54</v>
      </c>
      <c r="G1577">
        <v>23</v>
      </c>
      <c r="H1577">
        <v>20</v>
      </c>
      <c r="I1577">
        <v>36309.74</v>
      </c>
      <c r="J1577">
        <v>2326.71</v>
      </c>
      <c r="K1577">
        <v>0</v>
      </c>
      <c r="L1577">
        <v>2025</v>
      </c>
    </row>
    <row r="1578" spans="1:12" x14ac:dyDescent="0.25">
      <c r="A1578" s="1" t="s">
        <v>1610</v>
      </c>
      <c r="B1578" s="1" t="s">
        <v>15</v>
      </c>
      <c r="C1578">
        <v>77</v>
      </c>
      <c r="D1578" s="1" t="s">
        <v>671</v>
      </c>
      <c r="E1578">
        <v>83067.539999999994</v>
      </c>
      <c r="F1578">
        <v>52044.78</v>
      </c>
      <c r="G1578">
        <v>64</v>
      </c>
      <c r="H1578">
        <v>1</v>
      </c>
      <c r="I1578">
        <v>40241.43</v>
      </c>
      <c r="J1578">
        <v>0</v>
      </c>
      <c r="K1578">
        <v>0</v>
      </c>
      <c r="L1578">
        <v>2025</v>
      </c>
    </row>
    <row r="1579" spans="1:12" x14ac:dyDescent="0.25">
      <c r="A1579" s="1" t="s">
        <v>1611</v>
      </c>
      <c r="B1579" s="1" t="s">
        <v>18</v>
      </c>
      <c r="C1579">
        <v>104</v>
      </c>
      <c r="D1579" s="1" t="s">
        <v>671</v>
      </c>
      <c r="E1579">
        <v>74492.88</v>
      </c>
      <c r="F1579">
        <v>58162.37</v>
      </c>
      <c r="G1579">
        <v>18</v>
      </c>
      <c r="H1579">
        <v>0</v>
      </c>
      <c r="I1579">
        <v>11024.12</v>
      </c>
      <c r="J1579">
        <v>2676.19</v>
      </c>
      <c r="K1579">
        <v>0</v>
      </c>
      <c r="L1579">
        <v>2025</v>
      </c>
    </row>
    <row r="1580" spans="1:12" x14ac:dyDescent="0.25">
      <c r="A1580" s="1" t="s">
        <v>1612</v>
      </c>
      <c r="B1580" s="1" t="s">
        <v>17</v>
      </c>
      <c r="C1580">
        <v>59</v>
      </c>
      <c r="D1580" s="1" t="s">
        <v>671</v>
      </c>
      <c r="E1580">
        <v>47033.36</v>
      </c>
      <c r="F1580">
        <v>32834.699999999997</v>
      </c>
      <c r="G1580">
        <v>19</v>
      </c>
      <c r="H1580">
        <v>27</v>
      </c>
      <c r="I1580">
        <v>55298.38</v>
      </c>
      <c r="J1580">
        <v>1474.78</v>
      </c>
      <c r="K1580">
        <v>0</v>
      </c>
      <c r="L1580">
        <v>2025</v>
      </c>
    </row>
    <row r="1581" spans="1:12" x14ac:dyDescent="0.25">
      <c r="A1581" s="1" t="s">
        <v>1613</v>
      </c>
      <c r="B1581" s="1" t="s">
        <v>16</v>
      </c>
      <c r="C1581">
        <v>44</v>
      </c>
      <c r="D1581" s="1" t="s">
        <v>671</v>
      </c>
      <c r="E1581">
        <v>37349.01</v>
      </c>
      <c r="F1581">
        <v>21724.11</v>
      </c>
      <c r="G1581">
        <v>51</v>
      </c>
      <c r="H1581">
        <v>35</v>
      </c>
      <c r="I1581">
        <v>44408.959999999999</v>
      </c>
      <c r="J1581">
        <v>8583.74</v>
      </c>
      <c r="K1581">
        <v>0</v>
      </c>
      <c r="L1581">
        <v>2025</v>
      </c>
    </row>
    <row r="1582" spans="1:12" x14ac:dyDescent="0.25">
      <c r="A1582" s="1" t="s">
        <v>1614</v>
      </c>
      <c r="B1582" s="1" t="s">
        <v>12</v>
      </c>
      <c r="C1582">
        <v>6</v>
      </c>
      <c r="D1582" s="1" t="s">
        <v>671</v>
      </c>
      <c r="E1582">
        <v>21572.16</v>
      </c>
      <c r="F1582">
        <v>14468.2</v>
      </c>
      <c r="G1582">
        <v>19</v>
      </c>
      <c r="H1582">
        <v>48</v>
      </c>
      <c r="I1582">
        <v>42146.93</v>
      </c>
      <c r="J1582">
        <v>0</v>
      </c>
      <c r="K1582">
        <v>0</v>
      </c>
      <c r="L1582">
        <v>2025</v>
      </c>
    </row>
    <row r="1583" spans="1:12" x14ac:dyDescent="0.25">
      <c r="A1583" s="1" t="s">
        <v>1615</v>
      </c>
      <c r="B1583" s="1" t="s">
        <v>16</v>
      </c>
      <c r="C1583">
        <v>118</v>
      </c>
      <c r="D1583" s="1" t="s">
        <v>671</v>
      </c>
      <c r="E1583">
        <v>86619.22</v>
      </c>
      <c r="F1583">
        <v>71639.100000000006</v>
      </c>
      <c r="G1583">
        <v>38</v>
      </c>
      <c r="H1583">
        <v>48</v>
      </c>
      <c r="I1583">
        <v>0</v>
      </c>
      <c r="J1583">
        <v>2370.3200000000002</v>
      </c>
      <c r="K1583">
        <v>0</v>
      </c>
      <c r="L1583">
        <v>2025</v>
      </c>
    </row>
    <row r="1584" spans="1:12" x14ac:dyDescent="0.25">
      <c r="A1584" s="1" t="s">
        <v>1616</v>
      </c>
      <c r="B1584" s="1" t="s">
        <v>18</v>
      </c>
      <c r="C1584">
        <v>94</v>
      </c>
      <c r="D1584" s="1" t="s">
        <v>671</v>
      </c>
      <c r="E1584">
        <v>83641.81</v>
      </c>
      <c r="F1584">
        <v>69208.800000000003</v>
      </c>
      <c r="G1584">
        <v>32</v>
      </c>
      <c r="H1584">
        <v>30</v>
      </c>
      <c r="I1584">
        <v>53364.85</v>
      </c>
      <c r="J1584">
        <v>1918.08</v>
      </c>
      <c r="K1584">
        <v>0</v>
      </c>
      <c r="L1584">
        <v>2025</v>
      </c>
    </row>
    <row r="1585" spans="1:12" x14ac:dyDescent="0.25">
      <c r="A1585" s="1" t="s">
        <v>1617</v>
      </c>
      <c r="B1585" s="1" t="s">
        <v>12</v>
      </c>
      <c r="C1585">
        <v>3</v>
      </c>
      <c r="D1585" s="1" t="s">
        <v>671</v>
      </c>
      <c r="E1585">
        <v>10747.89</v>
      </c>
      <c r="F1585">
        <v>9668.0499999999993</v>
      </c>
      <c r="G1585">
        <v>27</v>
      </c>
      <c r="H1585">
        <v>31</v>
      </c>
      <c r="I1585">
        <v>2486.31</v>
      </c>
      <c r="J1585">
        <v>5651.33</v>
      </c>
      <c r="K1585">
        <v>0</v>
      </c>
      <c r="L1585">
        <v>2025</v>
      </c>
    </row>
    <row r="1586" spans="1:12" x14ac:dyDescent="0.25">
      <c r="A1586" s="1" t="s">
        <v>1618</v>
      </c>
      <c r="B1586" s="1" t="s">
        <v>17</v>
      </c>
      <c r="C1586">
        <v>86</v>
      </c>
      <c r="D1586" s="1" t="s">
        <v>671</v>
      </c>
      <c r="E1586">
        <v>76797.14</v>
      </c>
      <c r="F1586">
        <v>73211.03</v>
      </c>
      <c r="G1586">
        <v>42</v>
      </c>
      <c r="H1586">
        <v>20</v>
      </c>
      <c r="I1586">
        <v>56643.68</v>
      </c>
      <c r="J1586">
        <v>3717.68</v>
      </c>
      <c r="K1586">
        <v>0</v>
      </c>
      <c r="L1586">
        <v>2025</v>
      </c>
    </row>
    <row r="1587" spans="1:12" x14ac:dyDescent="0.25">
      <c r="A1587" s="1" t="s">
        <v>1619</v>
      </c>
      <c r="B1587" s="1" t="s">
        <v>12</v>
      </c>
      <c r="C1587">
        <v>80</v>
      </c>
      <c r="D1587" s="1" t="s">
        <v>671</v>
      </c>
      <c r="E1587">
        <v>58278.720000000001</v>
      </c>
      <c r="F1587">
        <v>36320.980000000003</v>
      </c>
      <c r="G1587">
        <v>58</v>
      </c>
      <c r="H1587">
        <v>39</v>
      </c>
      <c r="I1587">
        <v>39202.199999999997</v>
      </c>
      <c r="J1587">
        <v>10966.94</v>
      </c>
      <c r="K1587">
        <v>0</v>
      </c>
      <c r="L1587">
        <v>2025</v>
      </c>
    </row>
    <row r="1588" spans="1:12" x14ac:dyDescent="0.25">
      <c r="A1588" s="1" t="s">
        <v>1620</v>
      </c>
      <c r="B1588" s="1" t="s">
        <v>16</v>
      </c>
      <c r="C1588">
        <v>97</v>
      </c>
      <c r="D1588" s="1" t="s">
        <v>671</v>
      </c>
      <c r="E1588">
        <v>87411.72</v>
      </c>
      <c r="F1588">
        <v>88715.03</v>
      </c>
      <c r="G1588">
        <v>47</v>
      </c>
      <c r="H1588">
        <v>45</v>
      </c>
      <c r="I1588">
        <v>24566.959999999999</v>
      </c>
      <c r="J1588">
        <v>0</v>
      </c>
      <c r="K1588">
        <v>0</v>
      </c>
      <c r="L1588">
        <v>2025</v>
      </c>
    </row>
    <row r="1589" spans="1:12" x14ac:dyDescent="0.25">
      <c r="A1589" s="1" t="s">
        <v>1621</v>
      </c>
      <c r="B1589" s="1" t="s">
        <v>18</v>
      </c>
      <c r="C1589">
        <v>120</v>
      </c>
      <c r="D1589" s="1" t="s">
        <v>671</v>
      </c>
      <c r="E1589">
        <v>93945.21</v>
      </c>
      <c r="F1589">
        <v>69018.929999999993</v>
      </c>
      <c r="G1589">
        <v>35</v>
      </c>
      <c r="H1589">
        <v>5</v>
      </c>
      <c r="I1589">
        <v>41861.040000000001</v>
      </c>
      <c r="J1589">
        <v>2192.25</v>
      </c>
      <c r="K1589">
        <v>0</v>
      </c>
      <c r="L1589">
        <v>2025</v>
      </c>
    </row>
    <row r="1590" spans="1:12" x14ac:dyDescent="0.25">
      <c r="A1590" s="1" t="s">
        <v>1622</v>
      </c>
      <c r="B1590" s="1" t="s">
        <v>14</v>
      </c>
      <c r="C1590">
        <v>42</v>
      </c>
      <c r="D1590" s="1" t="s">
        <v>671</v>
      </c>
      <c r="E1590">
        <v>56846.76</v>
      </c>
      <c r="F1590">
        <v>41025.82</v>
      </c>
      <c r="G1590">
        <v>10</v>
      </c>
      <c r="H1590">
        <v>46</v>
      </c>
      <c r="I1590">
        <v>14104.98</v>
      </c>
      <c r="J1590">
        <v>2920.14</v>
      </c>
      <c r="K1590">
        <v>0</v>
      </c>
      <c r="L1590">
        <v>2025</v>
      </c>
    </row>
    <row r="1591" spans="1:12" x14ac:dyDescent="0.25">
      <c r="A1591" s="1" t="s">
        <v>1623</v>
      </c>
      <c r="B1591" s="1" t="s">
        <v>17</v>
      </c>
      <c r="C1591">
        <v>45</v>
      </c>
      <c r="D1591" s="1" t="s">
        <v>671</v>
      </c>
      <c r="E1591">
        <v>43225.86</v>
      </c>
      <c r="F1591">
        <v>30503.74</v>
      </c>
      <c r="G1591">
        <v>10</v>
      </c>
      <c r="H1591">
        <v>48</v>
      </c>
      <c r="I1591">
        <v>54841.79</v>
      </c>
      <c r="J1591">
        <v>8021.11</v>
      </c>
      <c r="K1591">
        <v>0</v>
      </c>
      <c r="L1591">
        <v>2025</v>
      </c>
    </row>
    <row r="1592" spans="1:12" x14ac:dyDescent="0.25">
      <c r="A1592" s="1" t="s">
        <v>1624</v>
      </c>
      <c r="B1592" s="1" t="s">
        <v>18</v>
      </c>
      <c r="C1592">
        <v>99</v>
      </c>
      <c r="D1592" s="1" t="s">
        <v>671</v>
      </c>
      <c r="E1592">
        <v>77964.399999999994</v>
      </c>
      <c r="F1592">
        <v>79698.41</v>
      </c>
      <c r="G1592">
        <v>18</v>
      </c>
      <c r="H1592">
        <v>35</v>
      </c>
      <c r="I1592">
        <v>2333.91</v>
      </c>
      <c r="J1592">
        <v>7624.67</v>
      </c>
      <c r="K1592">
        <v>0</v>
      </c>
      <c r="L1592">
        <v>2025</v>
      </c>
    </row>
    <row r="1593" spans="1:12" x14ac:dyDescent="0.25">
      <c r="A1593" s="1" t="s">
        <v>1625</v>
      </c>
      <c r="B1593" s="1" t="s">
        <v>14</v>
      </c>
      <c r="C1593">
        <v>75</v>
      </c>
      <c r="D1593" s="1" t="s">
        <v>671</v>
      </c>
      <c r="E1593">
        <v>63371.31</v>
      </c>
      <c r="F1593">
        <v>66277.31</v>
      </c>
      <c r="G1593">
        <v>45</v>
      </c>
      <c r="H1593">
        <v>66</v>
      </c>
      <c r="I1593">
        <v>27010.11</v>
      </c>
      <c r="J1593">
        <v>7103.29</v>
      </c>
      <c r="K1593">
        <v>0</v>
      </c>
      <c r="L1593">
        <v>2025</v>
      </c>
    </row>
    <row r="1594" spans="1:12" x14ac:dyDescent="0.25">
      <c r="A1594" s="1" t="s">
        <v>1626</v>
      </c>
      <c r="B1594" s="1" t="s">
        <v>18</v>
      </c>
      <c r="C1594">
        <v>81</v>
      </c>
      <c r="D1594" s="1" t="s">
        <v>671</v>
      </c>
      <c r="E1594">
        <v>62644.27</v>
      </c>
      <c r="F1594">
        <v>50544.69</v>
      </c>
      <c r="G1594">
        <v>26</v>
      </c>
      <c r="H1594">
        <v>16</v>
      </c>
      <c r="I1594">
        <v>34012.85</v>
      </c>
      <c r="J1594">
        <v>12367.31</v>
      </c>
      <c r="K1594">
        <v>0</v>
      </c>
      <c r="L1594">
        <v>2025</v>
      </c>
    </row>
    <row r="1595" spans="1:12" x14ac:dyDescent="0.25">
      <c r="A1595" s="1" t="s">
        <v>1627</v>
      </c>
      <c r="B1595" s="1" t="s">
        <v>16</v>
      </c>
      <c r="C1595">
        <v>46</v>
      </c>
      <c r="D1595" s="1" t="s">
        <v>671</v>
      </c>
      <c r="E1595">
        <v>37542.93</v>
      </c>
      <c r="F1595">
        <v>33273.81</v>
      </c>
      <c r="G1595">
        <v>24</v>
      </c>
      <c r="H1595">
        <v>20</v>
      </c>
      <c r="I1595">
        <v>37614.639999999999</v>
      </c>
      <c r="J1595">
        <v>0</v>
      </c>
      <c r="K1595">
        <v>0</v>
      </c>
      <c r="L1595">
        <v>2025</v>
      </c>
    </row>
    <row r="1596" spans="1:12" x14ac:dyDescent="0.25">
      <c r="A1596" s="1" t="s">
        <v>1628</v>
      </c>
      <c r="B1596" s="1" t="s">
        <v>14</v>
      </c>
      <c r="C1596">
        <v>49</v>
      </c>
      <c r="D1596" s="1" t="s">
        <v>671</v>
      </c>
      <c r="E1596">
        <v>39513.46</v>
      </c>
      <c r="F1596">
        <v>24898.080000000002</v>
      </c>
      <c r="G1596">
        <v>19</v>
      </c>
      <c r="H1596">
        <v>16</v>
      </c>
      <c r="I1596">
        <v>72994.259999999995</v>
      </c>
      <c r="J1596">
        <v>5206.72</v>
      </c>
      <c r="K1596">
        <v>0</v>
      </c>
      <c r="L1596">
        <v>2025</v>
      </c>
    </row>
    <row r="1597" spans="1:12" x14ac:dyDescent="0.25">
      <c r="A1597" s="1" t="s">
        <v>1629</v>
      </c>
      <c r="B1597" s="1" t="s">
        <v>12</v>
      </c>
      <c r="C1597">
        <v>99</v>
      </c>
      <c r="D1597" s="1" t="s">
        <v>671</v>
      </c>
      <c r="E1597">
        <v>80163.41</v>
      </c>
      <c r="F1597">
        <v>86150.45</v>
      </c>
      <c r="G1597">
        <v>37</v>
      </c>
      <c r="H1597">
        <v>34</v>
      </c>
      <c r="I1597">
        <v>19183.759999999998</v>
      </c>
      <c r="J1597">
        <v>0</v>
      </c>
      <c r="K1597">
        <v>0</v>
      </c>
      <c r="L1597">
        <v>2025</v>
      </c>
    </row>
    <row r="1598" spans="1:12" x14ac:dyDescent="0.25">
      <c r="A1598" s="1" t="s">
        <v>1630</v>
      </c>
      <c r="B1598" s="1" t="s">
        <v>17</v>
      </c>
      <c r="C1598">
        <v>9</v>
      </c>
      <c r="D1598" s="1" t="s">
        <v>671</v>
      </c>
      <c r="E1598">
        <v>13368.18</v>
      </c>
      <c r="F1598">
        <v>13253.8</v>
      </c>
      <c r="G1598">
        <v>32</v>
      </c>
      <c r="H1598">
        <v>16</v>
      </c>
      <c r="I1598">
        <v>26704.080000000002</v>
      </c>
      <c r="J1598">
        <v>4240.25</v>
      </c>
      <c r="K1598">
        <v>0</v>
      </c>
      <c r="L1598">
        <v>2025</v>
      </c>
    </row>
    <row r="1599" spans="1:12" x14ac:dyDescent="0.25">
      <c r="A1599" s="1" t="s">
        <v>1631</v>
      </c>
      <c r="B1599" s="1" t="s">
        <v>17</v>
      </c>
      <c r="C1599">
        <v>67</v>
      </c>
      <c r="D1599" s="1" t="s">
        <v>671</v>
      </c>
      <c r="E1599">
        <v>55396.55</v>
      </c>
      <c r="F1599">
        <v>42476.35</v>
      </c>
      <c r="G1599">
        <v>57</v>
      </c>
      <c r="H1599">
        <v>12</v>
      </c>
      <c r="I1599">
        <v>32263.06</v>
      </c>
      <c r="J1599">
        <v>4500.22</v>
      </c>
      <c r="K1599">
        <v>0</v>
      </c>
      <c r="L1599">
        <v>2025</v>
      </c>
    </row>
    <row r="1600" spans="1:12" x14ac:dyDescent="0.25">
      <c r="A1600" s="1" t="s">
        <v>1632</v>
      </c>
      <c r="B1600" s="1" t="s">
        <v>16</v>
      </c>
      <c r="C1600">
        <v>21</v>
      </c>
      <c r="D1600" s="1" t="s">
        <v>671</v>
      </c>
      <c r="E1600">
        <v>19606.240000000002</v>
      </c>
      <c r="F1600">
        <v>20543.97</v>
      </c>
      <c r="G1600">
        <v>51</v>
      </c>
      <c r="H1600">
        <v>19</v>
      </c>
      <c r="I1600">
        <v>11967.03</v>
      </c>
      <c r="J1600">
        <v>7869.71</v>
      </c>
      <c r="K1600">
        <v>0</v>
      </c>
      <c r="L1600">
        <v>2025</v>
      </c>
    </row>
    <row r="1601" spans="1:12" x14ac:dyDescent="0.25">
      <c r="A1601" s="1" t="s">
        <v>1633</v>
      </c>
      <c r="B1601" s="1" t="s">
        <v>15</v>
      </c>
      <c r="C1601">
        <v>105</v>
      </c>
      <c r="D1601" s="1" t="s">
        <v>671</v>
      </c>
      <c r="E1601">
        <v>87773.82</v>
      </c>
      <c r="F1601">
        <v>92604.19</v>
      </c>
      <c r="G1601">
        <v>41</v>
      </c>
      <c r="H1601">
        <v>16</v>
      </c>
      <c r="I1601">
        <v>42883.1</v>
      </c>
      <c r="J1601">
        <v>2312.96</v>
      </c>
      <c r="K1601">
        <v>0</v>
      </c>
      <c r="L1601">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DB184-1FB5-47F7-B84D-12CB16889219}">
  <dimension ref="A1:J24"/>
  <sheetViews>
    <sheetView workbookViewId="0">
      <selection activeCell="C24" sqref="C24"/>
    </sheetView>
  </sheetViews>
  <sheetFormatPr defaultRowHeight="15" x14ac:dyDescent="0.25"/>
  <cols>
    <col min="1" max="1" width="14" bestFit="1" customWidth="1"/>
    <col min="2" max="2" width="19.5703125" bestFit="1" customWidth="1"/>
    <col min="3" max="3" width="16.42578125" bestFit="1" customWidth="1"/>
    <col min="5" max="5" width="13.42578125" bestFit="1" customWidth="1"/>
    <col min="6" max="6" width="35.140625" bestFit="1" customWidth="1"/>
    <col min="7" max="7" width="24.85546875" bestFit="1" customWidth="1"/>
    <col min="9" max="9" width="13.42578125" bestFit="1" customWidth="1"/>
    <col min="10" max="10" width="18" bestFit="1" customWidth="1"/>
  </cols>
  <sheetData>
    <row r="1" spans="1:10" x14ac:dyDescent="0.25">
      <c r="A1" s="2" t="s">
        <v>35</v>
      </c>
      <c r="B1" t="s">
        <v>34</v>
      </c>
      <c r="C1" t="s">
        <v>37</v>
      </c>
      <c r="E1" s="2" t="s">
        <v>35</v>
      </c>
      <c r="F1" t="s">
        <v>1641</v>
      </c>
      <c r="G1" t="s">
        <v>1642</v>
      </c>
      <c r="I1" s="2" t="s">
        <v>35</v>
      </c>
      <c r="J1" t="s">
        <v>1643</v>
      </c>
    </row>
    <row r="2" spans="1:10" x14ac:dyDescent="0.25">
      <c r="A2" s="3">
        <v>2024</v>
      </c>
      <c r="B2" s="1">
        <v>52489244.719999999</v>
      </c>
      <c r="C2" s="1">
        <v>43218821.460000001</v>
      </c>
      <c r="E2" s="3" t="s">
        <v>340</v>
      </c>
      <c r="F2" s="1">
        <v>38.276729559748425</v>
      </c>
      <c r="G2" s="1">
        <v>29.70440251572327</v>
      </c>
      <c r="I2" s="3">
        <v>0</v>
      </c>
      <c r="J2" s="1">
        <v>1326</v>
      </c>
    </row>
    <row r="3" spans="1:10" x14ac:dyDescent="0.25">
      <c r="A3" s="4" t="s">
        <v>340</v>
      </c>
      <c r="B3" s="1">
        <v>4662576</v>
      </c>
      <c r="C3" s="1">
        <v>3835824.71</v>
      </c>
      <c r="E3" s="3" t="s">
        <v>22</v>
      </c>
      <c r="F3" s="1">
        <v>37.909722222222221</v>
      </c>
      <c r="G3" s="1">
        <v>29.694444444444443</v>
      </c>
      <c r="I3" s="3">
        <v>1</v>
      </c>
      <c r="J3" s="1">
        <v>274</v>
      </c>
    </row>
    <row r="4" spans="1:10" x14ac:dyDescent="0.25">
      <c r="A4" s="4" t="s">
        <v>22</v>
      </c>
      <c r="B4" s="1">
        <v>3723678.9000000004</v>
      </c>
      <c r="C4" s="1">
        <v>2968977.9099999992</v>
      </c>
      <c r="E4" s="3" t="s">
        <v>28</v>
      </c>
      <c r="F4" s="1">
        <v>40.276470588235291</v>
      </c>
      <c r="G4" s="1">
        <v>30.929411764705883</v>
      </c>
      <c r="I4" s="3" t="s">
        <v>36</v>
      </c>
      <c r="J4" s="1">
        <v>1600</v>
      </c>
    </row>
    <row r="5" spans="1:10" x14ac:dyDescent="0.25">
      <c r="A5" s="4" t="s">
        <v>28</v>
      </c>
      <c r="B5" s="1">
        <v>4435478.1999999993</v>
      </c>
      <c r="C5" s="1">
        <v>3704036.4399999995</v>
      </c>
      <c r="E5" s="3" t="s">
        <v>13</v>
      </c>
      <c r="F5" s="1">
        <v>38.568862275449099</v>
      </c>
      <c r="G5" s="1">
        <v>25.191616766467067</v>
      </c>
    </row>
    <row r="6" spans="1:10" x14ac:dyDescent="0.25">
      <c r="A6" s="4" t="s">
        <v>13</v>
      </c>
      <c r="B6" s="1">
        <v>4553342.87</v>
      </c>
      <c r="C6" s="1">
        <v>3680392.9099999997</v>
      </c>
      <c r="E6" s="3" t="s">
        <v>671</v>
      </c>
      <c r="F6" s="1">
        <v>36.790209790209794</v>
      </c>
      <c r="G6" s="1">
        <v>29.972027972027973</v>
      </c>
    </row>
    <row r="7" spans="1:10" x14ac:dyDescent="0.25">
      <c r="A7" s="4" t="s">
        <v>671</v>
      </c>
      <c r="B7" s="1">
        <v>3627750.8500000006</v>
      </c>
      <c r="C7" s="1">
        <v>3065674.5300000007</v>
      </c>
      <c r="E7" s="3" t="s">
        <v>25</v>
      </c>
      <c r="F7" s="1">
        <v>39.133757961783438</v>
      </c>
      <c r="G7" s="1">
        <v>27.904458598726116</v>
      </c>
    </row>
    <row r="8" spans="1:10" x14ac:dyDescent="0.25">
      <c r="A8" s="4" t="s">
        <v>25</v>
      </c>
      <c r="B8" s="1">
        <v>4135168.1299999994</v>
      </c>
      <c r="C8" s="1">
        <v>3387196.1399999997</v>
      </c>
      <c r="E8" s="3" t="s">
        <v>422</v>
      </c>
      <c r="F8" s="1">
        <v>38.076023391812868</v>
      </c>
      <c r="G8" s="1">
        <v>29.777777777777779</v>
      </c>
    </row>
    <row r="9" spans="1:10" x14ac:dyDescent="0.25">
      <c r="A9" s="4" t="s">
        <v>422</v>
      </c>
      <c r="B9" s="1">
        <v>4751947.53</v>
      </c>
      <c r="C9" s="1">
        <v>3815247.9799999991</v>
      </c>
      <c r="E9" s="3" t="s">
        <v>20</v>
      </c>
      <c r="F9" s="1">
        <v>39.405405405405403</v>
      </c>
      <c r="G9" s="1">
        <v>26.148648648648649</v>
      </c>
    </row>
    <row r="10" spans="1:10" x14ac:dyDescent="0.25">
      <c r="A10" s="4" t="s">
        <v>20</v>
      </c>
      <c r="B10" s="1">
        <v>3970063.4499999997</v>
      </c>
      <c r="C10" s="1">
        <v>3238611.1800000011</v>
      </c>
      <c r="E10" s="3" t="s">
        <v>912</v>
      </c>
      <c r="F10" s="1">
        <v>39.020833333333336</v>
      </c>
      <c r="G10" s="1">
        <v>28.145833333333332</v>
      </c>
    </row>
    <row r="11" spans="1:10" x14ac:dyDescent="0.25">
      <c r="A11" s="4" t="s">
        <v>912</v>
      </c>
      <c r="B11" s="1">
        <v>5563633.3499999987</v>
      </c>
      <c r="C11" s="1">
        <v>4658201.74</v>
      </c>
      <c r="E11" s="3" t="s">
        <v>833</v>
      </c>
      <c r="F11" s="1">
        <v>38.397435897435898</v>
      </c>
      <c r="G11" s="1">
        <v>27.23076923076923</v>
      </c>
    </row>
    <row r="12" spans="1:10" x14ac:dyDescent="0.25">
      <c r="A12" s="4" t="s">
        <v>833</v>
      </c>
      <c r="B12" s="1">
        <v>4105696.22</v>
      </c>
      <c r="C12" s="1">
        <v>3402006.2</v>
      </c>
      <c r="E12" s="3" t="s">
        <v>741</v>
      </c>
      <c r="F12" s="1">
        <v>38.637362637362635</v>
      </c>
      <c r="G12" s="1">
        <v>28.076923076923077</v>
      </c>
    </row>
    <row r="13" spans="1:10" x14ac:dyDescent="0.25">
      <c r="A13" s="4" t="s">
        <v>741</v>
      </c>
      <c r="B13" s="1">
        <v>4940354.7799999993</v>
      </c>
      <c r="C13" s="1">
        <v>4194847.5999999987</v>
      </c>
      <c r="E13" s="3" t="s">
        <v>194</v>
      </c>
      <c r="F13" s="1">
        <v>37.19736842105263</v>
      </c>
      <c r="G13" s="1">
        <v>27.223684210526315</v>
      </c>
    </row>
    <row r="14" spans="1:10" x14ac:dyDescent="0.25">
      <c r="A14" s="4" t="s">
        <v>194</v>
      </c>
      <c r="B14" s="1">
        <v>4019554.4400000009</v>
      </c>
      <c r="C14" s="1">
        <v>3267804.1199999992</v>
      </c>
      <c r="E14" s="3" t="s">
        <v>36</v>
      </c>
      <c r="F14" s="1">
        <v>38.540624999999999</v>
      </c>
      <c r="G14" s="1">
        <v>28.464375</v>
      </c>
    </row>
    <row r="15" spans="1:10" x14ac:dyDescent="0.25">
      <c r="A15" s="3">
        <v>2025</v>
      </c>
      <c r="B15" s="1">
        <v>35101919.029999994</v>
      </c>
      <c r="C15" s="1">
        <v>29091797.540000003</v>
      </c>
    </row>
    <row r="16" spans="1:10" x14ac:dyDescent="0.25">
      <c r="A16" s="4" t="s">
        <v>340</v>
      </c>
      <c r="B16" s="1">
        <v>4409579.0499999989</v>
      </c>
      <c r="C16" s="1">
        <v>3577106.0800000005</v>
      </c>
    </row>
    <row r="17" spans="1:3" x14ac:dyDescent="0.25">
      <c r="A17" s="4" t="s">
        <v>22</v>
      </c>
      <c r="B17" s="1">
        <v>4119647.68</v>
      </c>
      <c r="C17" s="1">
        <v>3333703.8899999997</v>
      </c>
    </row>
    <row r="18" spans="1:3" x14ac:dyDescent="0.25">
      <c r="A18" s="4" t="s">
        <v>28</v>
      </c>
      <c r="B18" s="1">
        <v>4455927.9299999978</v>
      </c>
      <c r="C18" s="1">
        <v>3629618.4100000015</v>
      </c>
    </row>
    <row r="19" spans="1:3" x14ac:dyDescent="0.25">
      <c r="A19" s="4" t="s">
        <v>13</v>
      </c>
      <c r="B19" s="1">
        <v>4372794.7500000019</v>
      </c>
      <c r="C19" s="1">
        <v>3629727.9800000004</v>
      </c>
    </row>
    <row r="20" spans="1:3" x14ac:dyDescent="0.25">
      <c r="A20" s="4" t="s">
        <v>671</v>
      </c>
      <c r="B20" s="1">
        <v>4362532.330000001</v>
      </c>
      <c r="C20" s="1">
        <v>3699411.2800000003</v>
      </c>
    </row>
    <row r="21" spans="1:3" x14ac:dyDescent="0.25">
      <c r="A21" s="4" t="s">
        <v>25</v>
      </c>
      <c r="B21" s="1">
        <v>4612637.8599999994</v>
      </c>
      <c r="C21" s="1">
        <v>3839784.5499999993</v>
      </c>
    </row>
    <row r="22" spans="1:3" x14ac:dyDescent="0.25">
      <c r="A22" s="4" t="s">
        <v>422</v>
      </c>
      <c r="B22" s="1">
        <v>4341006.4299999978</v>
      </c>
      <c r="C22" s="1">
        <v>3742424.0799999991</v>
      </c>
    </row>
    <row r="23" spans="1:3" x14ac:dyDescent="0.25">
      <c r="A23" s="4" t="s">
        <v>20</v>
      </c>
      <c r="B23" s="1">
        <v>4427793.0000000009</v>
      </c>
      <c r="C23" s="1">
        <v>3640021.2699999991</v>
      </c>
    </row>
    <row r="24" spans="1:3" x14ac:dyDescent="0.25">
      <c r="A24" s="3" t="s">
        <v>36</v>
      </c>
      <c r="B24" s="1">
        <v>87591163.749999985</v>
      </c>
      <c r="C24" s="1">
        <v>72310619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D425-6389-40F2-884D-01BD8BBDAFB9}">
  <dimension ref="A1:B12"/>
  <sheetViews>
    <sheetView workbookViewId="0">
      <selection activeCell="C24" sqref="C24"/>
    </sheetView>
  </sheetViews>
  <sheetFormatPr defaultRowHeight="15" x14ac:dyDescent="0.25"/>
  <cols>
    <col min="1" max="1" width="26.7109375" bestFit="1" customWidth="1"/>
  </cols>
  <sheetData>
    <row r="1" spans="1:2" x14ac:dyDescent="0.25">
      <c r="A1" t="s">
        <v>0</v>
      </c>
    </row>
    <row r="2" spans="1:2" x14ac:dyDescent="0.25">
      <c r="A2" t="s">
        <v>1</v>
      </c>
    </row>
    <row r="3" spans="1:2" x14ac:dyDescent="0.25">
      <c r="A3" t="s">
        <v>2</v>
      </c>
    </row>
    <row r="4" spans="1:2" x14ac:dyDescent="0.25">
      <c r="A4" t="s">
        <v>3</v>
      </c>
    </row>
    <row r="5" spans="1:2" x14ac:dyDescent="0.25">
      <c r="A5" t="s">
        <v>4</v>
      </c>
      <c r="B5" t="s">
        <v>1634</v>
      </c>
    </row>
    <row r="6" spans="1:2" x14ac:dyDescent="0.25">
      <c r="A6" t="s">
        <v>5</v>
      </c>
      <c r="B6" t="s">
        <v>1635</v>
      </c>
    </row>
    <row r="7" spans="1:2" x14ac:dyDescent="0.25">
      <c r="A7" t="s">
        <v>6</v>
      </c>
      <c r="B7" t="s">
        <v>1636</v>
      </c>
    </row>
    <row r="8" spans="1:2" x14ac:dyDescent="0.25">
      <c r="A8" t="s">
        <v>7</v>
      </c>
      <c r="B8" t="s">
        <v>1637</v>
      </c>
    </row>
    <row r="9" spans="1:2" x14ac:dyDescent="0.25">
      <c r="A9" t="s">
        <v>8</v>
      </c>
      <c r="B9" t="s">
        <v>1638</v>
      </c>
    </row>
    <row r="10" spans="1:2" x14ac:dyDescent="0.25">
      <c r="A10" t="s">
        <v>9</v>
      </c>
      <c r="B10" t="s">
        <v>1639</v>
      </c>
    </row>
    <row r="11" spans="1:2" x14ac:dyDescent="0.25">
      <c r="A11" t="s">
        <v>10</v>
      </c>
      <c r="B11" t="s">
        <v>1640</v>
      </c>
    </row>
    <row r="12" spans="1:2" x14ac:dyDescent="0.25">
      <c r="A12"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64EDB9-DA5E-4BAE-AFF7-7A630837B6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small_business_cashflow</vt:lpstr>
      <vt:lpstr>Pivot_Calculations</vt:lpstr>
      <vt:lpstr>Column_definations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choudhary</dc:creator>
  <cp:lastModifiedBy>vishal choudhary</cp:lastModifiedBy>
  <dcterms:created xsi:type="dcterms:W3CDTF">2026-05-20T16:32:33Z</dcterms:created>
  <dcterms:modified xsi:type="dcterms:W3CDTF">2026-05-23T04:30:09Z</dcterms:modified>
</cp:coreProperties>
</file>